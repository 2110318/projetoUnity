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defaultThemeVersion="153222"/>
  <mc:AlternateContent xmlns:mc="http://schemas.openxmlformats.org/markup-compatibility/2006">
    <mc:Choice Requires="x15">
      <x15ac:absPath xmlns:x15ac="http://schemas.microsoft.com/office/spreadsheetml/2010/11/ac" url="C:\Users\wrt\Desktop\projetoUnity\Assets\"/>
    </mc:Choice>
  </mc:AlternateContent>
  <bookViews>
    <workbookView xWindow="0" yWindow="0" windowWidth="23040" windowHeight="9405"/>
  </bookViews>
  <sheets>
    <sheet name="Folha7" sheetId="7" r:id="rId1"/>
    <sheet name="Folha6" sheetId="6" r:id="rId2"/>
    <sheet name="Folha5" sheetId="5" r:id="rId3"/>
    <sheet name="Folha4" sheetId="4" r:id="rId4"/>
    <sheet name="Folha3" sheetId="3" r:id="rId5"/>
    <sheet name="Folha2" sheetId="2" r:id="rId6"/>
    <sheet name="Folha8" sheetId="10" r:id="rId7"/>
    <sheet name="Folha11" sheetId="15" r:id="rId8"/>
    <sheet name="Folha1" sheetId="1" r:id="rId9"/>
    <sheet name="Folha14" sheetId="17" r:id="rId10"/>
  </sheets>
  <definedNames>
    <definedName name="Data" localSheetId="8">Folha1!$A$2:$L$19</definedName>
    <definedName name="SegmentaçãoDeDados_Jogador">#N/A</definedName>
    <definedName name="SegmentaçãoDeDados_Jogador3">#N/A</definedName>
  </definedNames>
  <calcPr calcId="152511"/>
  <pivotCaches>
    <pivotCache cacheId="9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" i="1"/>
  <c r="M21" i="1" l="1"/>
  <c r="M22" i="1" l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sourceFile="C:\Users\wrt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<sst xmlns="http://schemas.openxmlformats.org/spreadsheetml/2006/main" count="160" uniqueCount="33">
  <si>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</si>
  <si>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</si>
  <si>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</si>
  <si>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</si>
  <si>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</si>
  <si>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</si>
  <si>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</si>
  <si>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</si>
  <si>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</si>
  <si>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 xml:space="preserve"> Nao</t>
  </si>
  <si>
    <t xml:space="preserve"> Sim</t>
  </si>
  <si>
    <t xml:space="preserve"> Masculino</t>
  </si>
  <si>
    <t xml:space="preserve"> Quarto Ano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</si>
  <si>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</si>
  <si>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</si>
  <si>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</si>
  <si>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</si>
  <si>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</si>
  <si>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</si>
  <si>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</si>
  <si>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Ana</t>
  </si>
  <si>
    <t>Rui</t>
  </si>
  <si>
    <t>Paula</t>
  </si>
  <si>
    <t>Media</t>
  </si>
  <si>
    <t>Média</t>
  </si>
  <si>
    <t>idd</t>
  </si>
  <si>
    <t>sexo</t>
  </si>
  <si>
    <t>escolaridade</t>
  </si>
  <si>
    <t>maus</t>
  </si>
  <si>
    <t>1/15/2015 11:48:49 AM</t>
  </si>
  <si>
    <t xml:space="preserve"> Não</t>
  </si>
  <si>
    <t>1/17/2015 11:48:49 AM</t>
  </si>
  <si>
    <t>1/18/2015 11:48:49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</si>
</sst>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[exelFinalMacro2.xltm]Folha7!Tabela dinâmica6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7.0744356955380575E-2"/>
          <c:y val="0.24830901137357828"/>
          <c:w val="0.74520188976377955"/>
          <c:h val="0.55623412073490819"/>
        </c:manualLayout>
      </c:layout>
      <c:lineChart>
        <c:grouping val="standard"/>
        <c:varyColors val="0"/>
        <c:ser>
          <c:idx val="0"/>
          <c:order val="0"/>
          <c:tx>
            <c:strRef>
              <c:f>Folha7!$B$3:$B$4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Folha7!$A$5:$A$11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Folha7!$B$5:$B$11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Folha7!$C$3:$C$4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Folha7!$A$5:$A$11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Folha7!$C$5:$C$11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Folha7!$D$3:$D$4</c:f>
              <c:strCache>
                <c:ptCount val="1"/>
                <c:pt idx="0">
                  <c:v>1/18/2015 11:48:49 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Folha7!$A$5:$A$11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Folha7!$D$5:$D$11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6533208"/>
        <c:axId val="256537520"/>
      </c:lineChart>
      <c:catAx>
        <c:axId val="256533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6537520"/>
        <c:crosses val="autoZero"/>
        <c:auto val="1"/>
        <c:lblAlgn val="ctr"/>
        <c:lblOffset val="100"/>
        <c:noMultiLvlLbl val="0"/>
      </c:catAx>
      <c:valAx>
        <c:axId val="25653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653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[exelFinalMacro2.xltm]Folha6!Tabela dinâmica5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400" b="0" i="0" u="none" strike="noStrike" baseline="0">
                <a:effectLst/>
              </a:rPr>
              <a:t>Itens Bons/Maus por Idade</a:t>
            </a:r>
            <a:endParaRPr lang="pt-PT"/>
          </a:p>
        </c:rich>
      </c:tx>
      <c:layout>
        <c:manualLayout>
          <c:xMode val="edge"/>
          <c:yMode val="edge"/>
          <c:x val="0.35767344706911636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Folha6!$B$1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Folha6!$A$2:$A$3</c:f>
              <c:strCache>
                <c:ptCount val="1"/>
                <c:pt idx="0">
                  <c:v>9</c:v>
                </c:pt>
              </c:strCache>
            </c:strRef>
          </c:cat>
          <c:val>
            <c:numRef>
              <c:f>Folha6!$B$2:$B$3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"/>
          <c:order val="1"/>
          <c:tx>
            <c:strRef>
              <c:f>Folha6!$C$1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Folha6!$A$2:$A$3</c:f>
              <c:strCache>
                <c:ptCount val="1"/>
                <c:pt idx="0">
                  <c:v>9</c:v>
                </c:pt>
              </c:strCache>
            </c:strRef>
          </c:cat>
          <c:val>
            <c:numRef>
              <c:f>Folha6!$C$2:$C$3</c:f>
              <c:numCache>
                <c:formatCode>General</c:formatCode>
                <c:ptCount val="1"/>
                <c:pt idx="0">
                  <c:v>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6532816"/>
        <c:axId val="256535560"/>
      </c:barChart>
      <c:catAx>
        <c:axId val="25653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6535560"/>
        <c:crosses val="autoZero"/>
        <c:auto val="1"/>
        <c:lblAlgn val="ctr"/>
        <c:lblOffset val="100"/>
        <c:noMultiLvlLbl val="0"/>
      </c:catAx>
      <c:valAx>
        <c:axId val="25653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653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[exelFinalMacro2.xltm]Folha5!Tabela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 Bons/Maus</a:t>
            </a:r>
            <a:r>
              <a:rPr lang="pt-PT" baseline="0"/>
              <a:t> por Sexo</a:t>
            </a:r>
            <a:endParaRPr lang="pt-P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Folha5!$B$1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Folha5!$A$2:$A$3</c:f>
              <c:strCache>
                <c:ptCount val="1"/>
                <c:pt idx="0">
                  <c:v> Masculino</c:v>
                </c:pt>
              </c:strCache>
            </c:strRef>
          </c:cat>
          <c:val>
            <c:numRef>
              <c:f>Folha5!$B$2:$B$3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"/>
          <c:order val="1"/>
          <c:tx>
            <c:strRef>
              <c:f>Folha5!$C$1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Folha5!$A$2:$A$3</c:f>
              <c:strCache>
                <c:ptCount val="1"/>
                <c:pt idx="0">
                  <c:v> Masculino</c:v>
                </c:pt>
              </c:strCache>
            </c:strRef>
          </c:cat>
          <c:val>
            <c:numRef>
              <c:f>Folha5!$C$2:$C$3</c:f>
              <c:numCache>
                <c:formatCode>General</c:formatCode>
                <c:ptCount val="1"/>
                <c:pt idx="0">
                  <c:v>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6535952"/>
        <c:axId val="256536736"/>
      </c:barChart>
      <c:catAx>
        <c:axId val="25653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6536736"/>
        <c:crosses val="autoZero"/>
        <c:auto val="1"/>
        <c:lblAlgn val="ctr"/>
        <c:lblOffset val="100"/>
        <c:noMultiLvlLbl val="0"/>
      </c:catAx>
      <c:valAx>
        <c:axId val="25653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  <a:r>
                  <a:rPr lang="pt-PT" baseline="0"/>
                  <a:t> </a:t>
                </a: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653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[exelFinalMacro2.xltm]Folha4!Tabela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</a:t>
            </a:r>
            <a:r>
              <a:rPr lang="pt-PT" baseline="0"/>
              <a:t> Bons/Maus por Nível</a:t>
            </a:r>
            <a:endParaRPr lang="pt-P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Folha4!$B$3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1/15/2015 11:48:49 AM</c:v>
                  </c:pt>
                  <c:pt idx="1">
                    <c:v>1/17/2015 11:48:49 AM</c:v>
                  </c:pt>
                  <c:pt idx="2">
                    <c:v>1/18/2015 11:48:49 AM</c:v>
                  </c:pt>
                  <c:pt idx="3">
                    <c:v>1/15/2015 11:48:49 AM</c:v>
                  </c:pt>
                  <c:pt idx="4">
                    <c:v>1/17/2015 11:48:49 AM</c:v>
                  </c:pt>
                  <c:pt idx="5">
                    <c:v>1/18/2015 11:48:49 AM</c:v>
                  </c:pt>
                  <c:pt idx="6">
                    <c:v>1/15/2015 11:48:49 AM</c:v>
                  </c:pt>
                  <c:pt idx="7">
                    <c:v>1/17/2015 11:48:49 AM</c:v>
                  </c:pt>
                  <c:pt idx="8">
                    <c:v>1/18/2015 11:48:49 AM</c:v>
                  </c:pt>
                  <c:pt idx="9">
                    <c:v>1/15/2015 11:48:49 AM</c:v>
                  </c:pt>
                  <c:pt idx="10">
                    <c:v>1/17/2015 11:48:49 AM</c:v>
                  </c:pt>
                  <c:pt idx="11">
                    <c:v>1/18/2015 11:48:49 AM</c:v>
                  </c:pt>
                  <c:pt idx="12">
                    <c:v>1/15/2015 11:48:49 AM</c:v>
                  </c:pt>
                  <c:pt idx="13">
                    <c:v>1/17/2015 11:48:49 AM</c:v>
                  </c:pt>
                  <c:pt idx="14">
                    <c:v>1/18/2015 11:48:49 AM</c:v>
                  </c:pt>
                  <c:pt idx="15">
                    <c:v>1/15/2015 11:48:49 AM</c:v>
                  </c:pt>
                  <c:pt idx="16">
                    <c:v>1/17/2015 11:48:49 AM</c:v>
                  </c:pt>
                  <c:pt idx="17">
                    <c:v>1/18/2015 11:48:49 AM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Folha4!$B$4:$B$28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Folha4!$C$3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Folha4!$A$4:$A$28</c:f>
              <c:multiLvlStrCache>
                <c:ptCount val="18"/>
                <c:lvl>
                  <c:pt idx="0">
                    <c:v>1/15/2015 11:48:49 AM</c:v>
                  </c:pt>
                  <c:pt idx="1">
                    <c:v>1/17/2015 11:48:49 AM</c:v>
                  </c:pt>
                  <c:pt idx="2">
                    <c:v>1/18/2015 11:48:49 AM</c:v>
                  </c:pt>
                  <c:pt idx="3">
                    <c:v>1/15/2015 11:48:49 AM</c:v>
                  </c:pt>
                  <c:pt idx="4">
                    <c:v>1/17/2015 11:48:49 AM</c:v>
                  </c:pt>
                  <c:pt idx="5">
                    <c:v>1/18/2015 11:48:49 AM</c:v>
                  </c:pt>
                  <c:pt idx="6">
                    <c:v>1/15/2015 11:48:49 AM</c:v>
                  </c:pt>
                  <c:pt idx="7">
                    <c:v>1/17/2015 11:48:49 AM</c:v>
                  </c:pt>
                  <c:pt idx="8">
                    <c:v>1/18/2015 11:48:49 AM</c:v>
                  </c:pt>
                  <c:pt idx="9">
                    <c:v>1/15/2015 11:48:49 AM</c:v>
                  </c:pt>
                  <c:pt idx="10">
                    <c:v>1/17/2015 11:48:49 AM</c:v>
                  </c:pt>
                  <c:pt idx="11">
                    <c:v>1/18/2015 11:48:49 AM</c:v>
                  </c:pt>
                  <c:pt idx="12">
                    <c:v>1/15/2015 11:48:49 AM</c:v>
                  </c:pt>
                  <c:pt idx="13">
                    <c:v>1/17/2015 11:48:49 AM</c:v>
                  </c:pt>
                  <c:pt idx="14">
                    <c:v>1/18/2015 11:48:49 AM</c:v>
                  </c:pt>
                  <c:pt idx="15">
                    <c:v>1/15/2015 11:48:49 AM</c:v>
                  </c:pt>
                  <c:pt idx="16">
                    <c:v>1/17/2015 11:48:49 AM</c:v>
                  </c:pt>
                  <c:pt idx="17">
                    <c:v>1/18/2015 11:48:49 AM</c:v>
                  </c:pt>
                </c:lvl>
                <c:lvl>
                  <c:pt idx="0">
                    <c:v>0</c:v>
                  </c:pt>
                  <c:pt idx="3">
                    <c:v>1</c:v>
                  </c:pt>
                  <c:pt idx="6">
                    <c:v>2</c:v>
                  </c:pt>
                  <c:pt idx="9">
                    <c:v>3</c:v>
                  </c:pt>
                  <c:pt idx="12">
                    <c:v>4</c:v>
                  </c:pt>
                  <c:pt idx="15">
                    <c:v>5</c:v>
                  </c:pt>
                </c:lvl>
              </c:multiLvlStrCache>
            </c:multiLvlStrRef>
          </c:cat>
          <c:val>
            <c:numRef>
              <c:f>Folha4!$C$4:$C$28</c:f>
              <c:numCache>
                <c:formatCode>General</c:formatCode>
                <c:ptCount val="1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6533600"/>
        <c:axId val="256533992"/>
      </c:barChart>
      <c:catAx>
        <c:axId val="256533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</a:t>
                </a:r>
                <a:r>
                  <a:rPr lang="pt-PT" baseline="0"/>
                  <a:t> Jogador</a:t>
                </a: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6533992"/>
        <c:crosses val="autoZero"/>
        <c:auto val="1"/>
        <c:lblAlgn val="ctr"/>
        <c:lblOffset val="100"/>
        <c:noMultiLvlLbl val="0"/>
      </c:catAx>
      <c:valAx>
        <c:axId val="25653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</a:t>
                </a:r>
                <a:r>
                  <a:rPr lang="en-US" baseline="0"/>
                  <a:t> de itens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653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[exelFinalMacro2.xltm]Folha3!Tabela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Vidas Gastas Por Jogador a Cada Nível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Folha3!$B$3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Folha3!$A$4:$A$25</c:f>
              <c:multiLvlStrCache>
                <c:ptCount val="18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1/17/2015 11:48:49 AM</c:v>
                  </c:pt>
                  <c:pt idx="12">
                    <c:v>1/18/2015 11:48:49 AM</c:v>
                  </c:pt>
                </c:lvl>
              </c:multiLvlStrCache>
            </c:multiLvlStrRef>
          </c:cat>
          <c:val>
            <c:numRef>
              <c:f>Folha3!$B$4:$B$25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58125568"/>
        <c:axId val="258122824"/>
      </c:barChart>
      <c:catAx>
        <c:axId val="25812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  <a:r>
                  <a:rPr lang="pt-PT" baseline="0"/>
                  <a:t>/Jogador</a:t>
                </a:r>
                <a:endParaRPr lang="pt-PT"/>
              </a:p>
            </c:rich>
          </c:tx>
          <c:layout>
            <c:manualLayout>
              <c:xMode val="edge"/>
              <c:yMode val="edge"/>
              <c:x val="0.45445542062255295"/>
              <c:y val="0.89874672893906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2824"/>
        <c:crosses val="autoZero"/>
        <c:auto val="1"/>
        <c:lblAlgn val="ctr"/>
        <c:lblOffset val="100"/>
        <c:noMultiLvlLbl val="0"/>
      </c:catAx>
      <c:valAx>
        <c:axId val="25812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[exelFinalMacro2.xltm]Folha2!Tabela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u="sng"/>
              <a:t>Insistências</a:t>
            </a:r>
            <a:r>
              <a:rPr lang="en-US" u="sng" baseline="0"/>
              <a:t> por Idade</a:t>
            </a:r>
            <a:endParaRPr lang="en-US" u="sng"/>
          </a:p>
        </c:rich>
      </c:tx>
      <c:layout>
        <c:manualLayout>
          <c:xMode val="edge"/>
          <c:yMode val="edge"/>
          <c:x val="0.35403017605255482"/>
          <c:y val="5.4738990959463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126352"/>
        <c:axId val="258123608"/>
      </c:lineChart>
      <c:catAx>
        <c:axId val="258126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3608"/>
        <c:crosses val="autoZero"/>
        <c:auto val="1"/>
        <c:lblAlgn val="ctr"/>
        <c:lblOffset val="100"/>
        <c:noMultiLvlLbl val="0"/>
      </c:catAx>
      <c:valAx>
        <c:axId val="25812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Insistências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4682447506561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[exelFinalMacro2.xltm]Folha8!Tabela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Folha8!$B$1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Folha8!$A$2:$A$20</c:f>
              <c:multiLvlStrCache>
                <c:ptCount val="12"/>
                <c:lvl>
                  <c:pt idx="0">
                    <c:v>1/15/2015 11:48:49 AM</c:v>
                  </c:pt>
                  <c:pt idx="1">
                    <c:v>1/17/2015 11:48:49 AM</c:v>
                  </c:pt>
                  <c:pt idx="2">
                    <c:v>1/15/2015 11:48:49 AM</c:v>
                  </c:pt>
                  <c:pt idx="3">
                    <c:v>1/17/2015 11:48:49 AM</c:v>
                  </c:pt>
                  <c:pt idx="4">
                    <c:v>1/15/2015 11:48:49 AM</c:v>
                  </c:pt>
                  <c:pt idx="5">
                    <c:v>1/17/2015 11:48:49 AM</c:v>
                  </c:pt>
                  <c:pt idx="6">
                    <c:v>1/15/2015 11:48:49 AM</c:v>
                  </c:pt>
                  <c:pt idx="7">
                    <c:v>1/17/2015 11:48:49 AM</c:v>
                  </c:pt>
                  <c:pt idx="8">
                    <c:v>1/15/2015 11:48:49 AM</c:v>
                  </c:pt>
                  <c:pt idx="9">
                    <c:v>1/17/2015 11:48:49 AM</c:v>
                  </c:pt>
                  <c:pt idx="10">
                    <c:v>1/15/2015 11:48:49 AM</c:v>
                  </c:pt>
                  <c:pt idx="11">
                    <c:v>1/17/2015 11:48:49 AM</c:v>
                  </c:pt>
                </c:lvl>
                <c:lvl>
                  <c:pt idx="0">
                    <c:v>0</c:v>
                  </c:pt>
                  <c:pt idx="2">
                    <c:v>1</c:v>
                  </c:pt>
                  <c:pt idx="4">
                    <c:v>2</c:v>
                  </c:pt>
                  <c:pt idx="6">
                    <c:v>3</c:v>
                  </c:pt>
                  <c:pt idx="8">
                    <c:v>4</c:v>
                  </c:pt>
                  <c:pt idx="10">
                    <c:v>5</c:v>
                  </c:pt>
                </c:lvl>
              </c:multiLvlStrCache>
            </c:multiLvlStrRef>
          </c:cat>
          <c:val>
            <c:numRef>
              <c:f>Folha8!$B$2:$B$20</c:f>
              <c:numCache>
                <c:formatCode>General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55</c:v>
                </c:pt>
                <c:pt idx="3">
                  <c:v>55</c:v>
                </c:pt>
                <c:pt idx="4">
                  <c:v>110</c:v>
                </c:pt>
                <c:pt idx="5">
                  <c:v>110</c:v>
                </c:pt>
                <c:pt idx="6">
                  <c:v>200</c:v>
                </c:pt>
                <c:pt idx="7">
                  <c:v>200</c:v>
                </c:pt>
                <c:pt idx="8">
                  <c:v>320</c:v>
                </c:pt>
                <c:pt idx="9">
                  <c:v>320</c:v>
                </c:pt>
                <c:pt idx="10">
                  <c:v>470</c:v>
                </c:pt>
                <c:pt idx="11">
                  <c:v>470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127528"/>
        <c:axId val="258125176"/>
      </c:lineChart>
      <c:catAx>
        <c:axId val="25812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5176"/>
        <c:crosses val="autoZero"/>
        <c:auto val="1"/>
        <c:lblAlgn val="ctr"/>
        <c:lblOffset val="100"/>
        <c:noMultiLvlLbl val="0"/>
      </c:catAx>
      <c:valAx>
        <c:axId val="25812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[exelFinalMacro2.xltm]Folha11!Tabela dinâmica1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Folha11!$B$3:$B$4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Folha11!$B$5:$B$11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</c:ser>
        <c:ser>
          <c:idx val="1"/>
          <c:order val="1"/>
          <c:tx>
            <c:strRef>
              <c:f>Folha11!$C$3:$C$4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Folha11!$C$5:$C$11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</c:ser>
        <c:ser>
          <c:idx val="2"/>
          <c:order val="2"/>
          <c:tx>
            <c:strRef>
              <c:f>Folha11!$D$3:$D$4</c:f>
              <c:strCache>
                <c:ptCount val="1"/>
                <c:pt idx="0">
                  <c:v>1/18/2015 11:48:49 AM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Folha11!$A$5:$A$11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Folha11!$D$5:$D$11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125960"/>
        <c:axId val="258128704"/>
      </c:barChart>
      <c:catAx>
        <c:axId val="258125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8704"/>
        <c:crosses val="autoZero"/>
        <c:auto val="1"/>
        <c:lblAlgn val="ctr"/>
        <c:lblOffset val="100"/>
        <c:noMultiLvlLbl val="0"/>
      </c:catAx>
      <c:valAx>
        <c:axId val="25812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5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Folha1!$R$2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Folha1!$S$2:$X$2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Folha1!$R$3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Folha1!$S$3:$X$3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Folha1!$R$4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Folha1!$S$4:$X$4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Folha1!$R$5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Folha1!$S$5:$X$5</c:f>
              <c:numCache>
                <c:formatCode>General</c:formatCode>
                <c:ptCount val="6"/>
              </c:numCache>
            </c:numRef>
          </c:val>
          <c:smooth val="0"/>
        </c:ser>
        <c:ser>
          <c:idx val="4"/>
          <c:order val="4"/>
          <c:tx>
            <c:strRef>
              <c:f>Folha1!$R$6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Folha1!$S$6:$X$6</c:f>
              <c:numCache>
                <c:formatCode>General</c:formatCode>
                <c:ptCount val="6"/>
              </c:numCache>
            </c:numRef>
          </c:val>
          <c:smooth val="0"/>
        </c:ser>
        <c:ser>
          <c:idx val="5"/>
          <c:order val="5"/>
          <c:tx>
            <c:strRef>
              <c:f>Folha1!$R$7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Folha1!$S$7:$X$7</c:f>
              <c:numCache>
                <c:formatCode>General</c:formatCode>
                <c:ptCount val="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128312"/>
        <c:axId val="258129096"/>
      </c:lineChart>
      <c:catAx>
        <c:axId val="258128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9096"/>
        <c:crosses val="autoZero"/>
        <c:auto val="1"/>
        <c:lblAlgn val="ctr"/>
        <c:lblOffset val="100"/>
        <c:noMultiLvlLbl val="0"/>
      </c:catAx>
      <c:valAx>
        <c:axId val="25812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8312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Folha14!$C$5</c:f>
              <c:strCache>
                <c:ptCount val="1"/>
                <c:pt idx="0">
                  <c:v>Ana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Folha14!$D$5:$F$5</c:f>
              <c:numCache>
                <c:formatCode>General</c:formatCode>
                <c:ptCount val="3"/>
                <c:pt idx="0">
                  <c:v>100</c:v>
                </c:pt>
                <c:pt idx="1">
                  <c:v>120</c:v>
                </c:pt>
                <c:pt idx="2">
                  <c:v>300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Folha14!$C$6</c:f>
              <c:strCache>
                <c:ptCount val="1"/>
                <c:pt idx="0">
                  <c:v>Rui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Folha14!$D$6:$F$6</c:f>
              <c:numCache>
                <c:formatCode>General</c:formatCode>
                <c:ptCount val="3"/>
                <c:pt idx="0">
                  <c:v>50</c:v>
                </c:pt>
                <c:pt idx="1">
                  <c:v>70</c:v>
                </c:pt>
                <c:pt idx="2">
                  <c:v>120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Folha14!$C$8</c:f>
              <c:strCache>
                <c:ptCount val="1"/>
                <c:pt idx="0">
                  <c:v>Media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Folha14!$D$4:$F$4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Folha14!$D$8:$F$8</c:f>
              <c:numCache>
                <c:formatCode>General</c:formatCode>
                <c:ptCount val="3"/>
                <c:pt idx="0">
                  <c:v>150</c:v>
                </c:pt>
                <c:pt idx="1">
                  <c:v>200</c:v>
                </c:pt>
                <c:pt idx="2">
                  <c:v>160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122432"/>
        <c:axId val="2565383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Folha14!$C$7</c15:sqref>
                        </c15:formulaRef>
                      </c:ext>
                    </c:extLst>
                    <c:strCache>
                      <c:ptCount val="1"/>
                      <c:pt idx="0">
                        <c:v>Paula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Folha14!$D$4:$F$4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Folha14!$D$7:$F$7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200</c:v>
                      </c:pt>
                      <c:pt idx="1">
                        <c:v>210</c:v>
                      </c:pt>
                      <c:pt idx="2">
                        <c:v>340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25812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6538304"/>
        <c:crosses val="autoZero"/>
        <c:auto val="1"/>
        <c:lblAlgn val="ctr"/>
        <c:lblOffset val="100"/>
        <c:noMultiLvlLbl val="0"/>
      </c:catAx>
      <c:valAx>
        <c:axId val="25653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812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1</xdr:row>
      <xdr:rowOff>184785</xdr:rowOff>
    </xdr:from>
    <xdr:to>
      <xdr:col>10</xdr:col>
      <xdr:colOff>40005</xdr:colOff>
      <xdr:row>16</xdr:row>
      <xdr:rowOff>184785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590550</xdr:colOff>
      <xdr:row>3</xdr:row>
      <xdr:rowOff>9525</xdr:rowOff>
    </xdr:from>
    <xdr:to>
      <xdr:col>13</xdr:col>
      <xdr:colOff>590550</xdr:colOff>
      <xdr:row>16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Joga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3930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594360</xdr:colOff>
      <xdr:row>24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14</xdr:col>
      <xdr:colOff>358140</xdr:colOff>
      <xdr:row>19</xdr:row>
      <xdr:rowOff>160020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1</xdr:row>
      <xdr:rowOff>30480</xdr:rowOff>
    </xdr:from>
    <xdr:to>
      <xdr:col>16</xdr:col>
      <xdr:colOff>449580</xdr:colOff>
      <xdr:row>30</xdr:row>
      <xdr:rowOff>15240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1</xdr:row>
      <xdr:rowOff>60960</xdr:rowOff>
    </xdr:from>
    <xdr:to>
      <xdr:col>16</xdr:col>
      <xdr:colOff>30480</xdr:colOff>
      <xdr:row>29</xdr:row>
      <xdr:rowOff>53340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158115</xdr:colOff>
      <xdr:row>3</xdr:row>
      <xdr:rowOff>173355</xdr:rowOff>
    </xdr:from>
    <xdr:to>
      <xdr:col>14</xdr:col>
      <xdr:colOff>577215</xdr:colOff>
      <xdr:row>22</xdr:row>
      <xdr:rowOff>120015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556260</xdr:colOff>
      <xdr:row>6</xdr:row>
      <xdr:rowOff>24765</xdr:rowOff>
    </xdr:from>
    <xdr:to>
      <xdr:col>8</xdr:col>
      <xdr:colOff>144780</xdr:colOff>
      <xdr:row>21</xdr:row>
      <xdr:rowOff>24765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381000</xdr:colOff>
      <xdr:row>0</xdr:row>
      <xdr:rowOff>30480</xdr:rowOff>
    </xdr:from>
    <xdr:to>
      <xdr:col>11</xdr:col>
      <xdr:colOff>381000</xdr:colOff>
      <xdr:row>13</xdr:row>
      <xdr:rowOff>120015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Jogador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gador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48900" y="30480"/>
              <a:ext cx="1828800" cy="25660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1</xdr:row>
          <xdr:rowOff>0</xdr:rowOff>
        </xdr:from>
        <xdr:to>
          <xdr:col>16</xdr:col>
          <xdr:colOff>66675</xdr:colOff>
          <xdr:row>2</xdr:row>
          <xdr:rowOff>133350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3</xdr:row>
          <xdr:rowOff>123825</xdr:rowOff>
        </xdr:from>
        <xdr:to>
          <xdr:col>16</xdr:col>
          <xdr:colOff>9525</xdr:colOff>
          <xdr:row>5</xdr:row>
          <xdr:rowOff>47625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9524</xdr:colOff>
      <xdr:row>7</xdr:row>
      <xdr:rowOff>185736</xdr:rowOff>
    </xdr:from>
    <xdr:to>
      <xdr:col>27</xdr:col>
      <xdr:colOff>9524</xdr:colOff>
      <xdr:row>26</xdr:row>
      <xdr:rowOff>171449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1</xdr:row>
      <xdr:rowOff>85725</xdr:rowOff>
    </xdr:from>
    <xdr:to>
      <xdr:col>15</xdr:col>
      <xdr:colOff>205740</xdr:colOff>
      <xdr:row>16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a" refreshedDate="42019.713801041667" createdVersion="5" refreshedVersion="5" minRefreshableVersion="3" recordCount="18">
  <cacheSource type="worksheet">
    <worksheetSource ref="A1:M19" sheet="Folha1"/>
  </cacheSource>
  <cacheFields count="15">
    <cacheField name="Jogador" numFmtId="22">
      <sharedItems containsDate="1" containsBlank="1" containsMixedTypes="1" minDate="2015-12-01T11:32:43" maxDate="2015-12-01T11:48:49" count="7">
        <s v="1/15/2015 11:48:49 AM"/>
        <s v="1/17/2015 11:48:49 AM"/>
        <s v="1/18/2015 11:48:49 AM"/>
        <m u="1"/>
        <d v="2015-12-01T11:41:06" u="1"/>
        <d v="2015-12-01T11:48:49" u="1"/>
        <d v="2015-12-01T11:32:43" u="1"/>
      </sharedItems>
    </cacheField>
    <cacheField name="idd" numFmtId="0">
      <sharedItems containsSemiMixedTypes="0" containsString="0" containsNumber="1" containsInteger="1" minValue="6" maxValue="9" count="3">
        <n v="9"/>
        <n v="6" u="1"/>
        <n v="8" u="1"/>
      </sharedItems>
    </cacheField>
    <cacheField name="sexo" numFmtId="0">
      <sharedItems containsBlank="1" count="3">
        <s v=" Masculino"/>
        <m u="1"/>
        <s v=" Feminino" u="1"/>
      </sharedItems>
    </cacheField>
    <cacheField name="escolaridade" numFmtId="0">
      <sharedItems/>
    </cacheField>
    <cacheField name="maus" numFmtId="0">
      <sharedItems containsSemiMixedTypes="0" containsString="0" containsNumber="1" containsInteger="1" minValue="0" maxValue="1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9" maxValue="120"/>
    </cacheField>
    <cacheField name="vida" numFmtId="0">
      <sharedItems containsSemiMixedTypes="0" containsString="0" containsNumber="1" containsInteger="1" minValue="3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30" maxValue="470"/>
    </cacheField>
    <cacheField name="insist" numFmtId="0">
      <sharedItems containsSemiMixedTypes="0" containsString="0" containsNumber="1" containsInteger="1" minValue="0" maxValue="0"/>
    </cacheField>
    <cacheField name="final" numFmtId="0">
      <sharedItems/>
    </cacheField>
    <cacheField name="vidasGastas" numFmtId="0">
      <sharedItems containsSemiMixedTypes="0" containsString="0" containsNumber="1" containsInteger="1" minValue="0" maxValue="3"/>
    </cacheField>
    <cacheField name="Campo1" numFmtId="0" formula=" 0" databaseField="0"/>
    <cacheField name="Campo2" numFmtId="0" formula=" 0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s v=" Quarto Ano"/>
    <n v="0"/>
    <n v="3"/>
    <n v="9"/>
    <n v="3"/>
    <x v="0"/>
    <n v="30"/>
    <n v="0"/>
    <s v=" Não"/>
    <n v="0"/>
  </r>
  <r>
    <x v="0"/>
    <x v="0"/>
    <x v="0"/>
    <s v=" Quarto Ano"/>
    <n v="1"/>
    <n v="3"/>
    <n v="22"/>
    <n v="3"/>
    <x v="1"/>
    <n v="55"/>
    <n v="0"/>
    <s v=" Nao"/>
    <n v="0"/>
  </r>
  <r>
    <x v="0"/>
    <x v="0"/>
    <x v="0"/>
    <s v=" Quarto Ano"/>
    <n v="1"/>
    <n v="6"/>
    <n v="40"/>
    <n v="3"/>
    <x v="2"/>
    <n v="110"/>
    <n v="0"/>
    <s v=" Nao"/>
    <n v="0"/>
  </r>
  <r>
    <x v="0"/>
    <x v="0"/>
    <x v="0"/>
    <s v=" Quarto Ano"/>
    <n v="0"/>
    <n v="9"/>
    <n v="59"/>
    <n v="3"/>
    <x v="3"/>
    <n v="200"/>
    <n v="0"/>
    <s v=" Nao"/>
    <n v="0"/>
  </r>
  <r>
    <x v="0"/>
    <x v="0"/>
    <x v="0"/>
    <s v=" Quarto Ano"/>
    <n v="0"/>
    <n v="12"/>
    <n v="100"/>
    <n v="3"/>
    <x v="4"/>
    <n v="320"/>
    <n v="0"/>
    <s v=" Nao"/>
    <n v="0"/>
  </r>
  <r>
    <x v="0"/>
    <x v="0"/>
    <x v="0"/>
    <s v=" Quarto Ano"/>
    <n v="0"/>
    <n v="15"/>
    <n v="120"/>
    <n v="3"/>
    <x v="5"/>
    <n v="470"/>
    <n v="0"/>
    <s v=" Sim"/>
    <n v="0"/>
  </r>
  <r>
    <x v="1"/>
    <x v="0"/>
    <x v="0"/>
    <s v=" Quarto Ano"/>
    <n v="0"/>
    <n v="3"/>
    <n v="9"/>
    <n v="3"/>
    <x v="0"/>
    <n v="30"/>
    <n v="0"/>
    <s v=" Não"/>
    <n v="0"/>
  </r>
  <r>
    <x v="1"/>
    <x v="0"/>
    <x v="0"/>
    <s v=" Quarto Ano"/>
    <n v="1"/>
    <n v="3"/>
    <n v="22"/>
    <n v="3"/>
    <x v="1"/>
    <n v="55"/>
    <n v="0"/>
    <s v=" Nao"/>
    <n v="0"/>
  </r>
  <r>
    <x v="1"/>
    <x v="0"/>
    <x v="0"/>
    <s v=" Quarto Ano"/>
    <n v="1"/>
    <n v="6"/>
    <n v="40"/>
    <n v="3"/>
    <x v="2"/>
    <n v="110"/>
    <n v="0"/>
    <s v=" Nao"/>
    <n v="0"/>
  </r>
  <r>
    <x v="1"/>
    <x v="0"/>
    <x v="0"/>
    <s v=" Quarto Ano"/>
    <n v="0"/>
    <n v="9"/>
    <n v="59"/>
    <n v="3"/>
    <x v="3"/>
    <n v="200"/>
    <n v="0"/>
    <s v=" Nao"/>
    <n v="0"/>
  </r>
  <r>
    <x v="1"/>
    <x v="0"/>
    <x v="0"/>
    <s v=" Quarto Ano"/>
    <n v="0"/>
    <n v="12"/>
    <n v="100"/>
    <n v="3"/>
    <x v="4"/>
    <n v="320"/>
    <n v="0"/>
    <s v=" Nao"/>
    <n v="0"/>
  </r>
  <r>
    <x v="1"/>
    <x v="0"/>
    <x v="0"/>
    <s v=" Quarto Ano"/>
    <n v="0"/>
    <n v="15"/>
    <n v="120"/>
    <n v="3"/>
    <x v="5"/>
    <n v="470"/>
    <n v="0"/>
    <s v=" Sim"/>
    <n v="3"/>
  </r>
  <r>
    <x v="2"/>
    <x v="0"/>
    <x v="0"/>
    <s v=" Quarto Ano"/>
    <n v="0"/>
    <n v="3"/>
    <n v="9"/>
    <n v="3"/>
    <x v="0"/>
    <n v="30"/>
    <n v="0"/>
    <s v=" Não"/>
    <n v="3"/>
  </r>
  <r>
    <x v="2"/>
    <x v="0"/>
    <x v="0"/>
    <s v=" Quarto Ano"/>
    <n v="1"/>
    <n v="3"/>
    <n v="22"/>
    <n v="3"/>
    <x v="1"/>
    <n v="55"/>
    <n v="0"/>
    <s v=" Nao"/>
    <n v="3"/>
  </r>
  <r>
    <x v="2"/>
    <x v="0"/>
    <x v="0"/>
    <s v=" Quarto Ano"/>
    <n v="1"/>
    <n v="6"/>
    <n v="40"/>
    <n v="3"/>
    <x v="2"/>
    <n v="110"/>
    <n v="0"/>
    <s v=" Nao"/>
    <n v="3"/>
  </r>
  <r>
    <x v="2"/>
    <x v="0"/>
    <x v="0"/>
    <s v=" Quarto Ano"/>
    <n v="0"/>
    <n v="9"/>
    <n v="59"/>
    <n v="3"/>
    <x v="3"/>
    <n v="200"/>
    <n v="0"/>
    <s v=" Nao"/>
    <n v="3"/>
  </r>
  <r>
    <x v="2"/>
    <x v="0"/>
    <x v="0"/>
    <s v=" Quarto Ano"/>
    <n v="0"/>
    <n v="12"/>
    <n v="100"/>
    <n v="3"/>
    <x v="4"/>
    <n v="320"/>
    <n v="0"/>
    <s v=" Nao"/>
    <n v="3"/>
  </r>
  <r>
    <x v="2"/>
    <x v="0"/>
    <x v="0"/>
    <s v=" Quarto Ano"/>
    <n v="0"/>
    <n v="15"/>
    <n v="120"/>
    <n v="3"/>
    <x v="5"/>
    <n v="470"/>
    <n v="0"/>
    <s v=" Sim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0">
  <location ref="A3:E11" firstHeaderRow="1" firstDataRow="2" firstDataCol="1"/>
  <pivotFields count="15">
    <pivotField axis="axisCol" numFmtId="22" multipleItemSelectionAllowed="1" showAll="0" sumSubtotal="1">
      <items count="8">
        <item m="1" x="6"/>
        <item m="1" x="4"/>
        <item m="1" x="5"/>
        <item x="0"/>
        <item x="1"/>
        <item m="1" x="3"/>
        <item x="2"/>
        <item t="sum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4">
    <i>
      <x v="3"/>
    </i>
    <i>
      <x v="4"/>
    </i>
    <i>
      <x v="6"/>
    </i>
    <i t="grand">
      <x/>
    </i>
  </colItems>
  <dataFields count="1">
    <dataField name="Soma de pontos" fld="9" baseField="0" baseItem="0"/>
  </dataFields>
  <chartFormats count="7"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5" cacheId="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3" firstHeaderRow="0" firstDataRow="1" firstDataCol="1"/>
  <pivotFields count="15">
    <pivotField numFmtId="22" showAll="0"/>
    <pivotField axis="axisRow" showAll="0">
      <items count="4">
        <item m="1" x="1"/>
        <item m="1" x="2"/>
        <item x="0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"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4" cacheId="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3" firstHeaderRow="0" firstDataRow="1" firstDataCol="1"/>
  <pivotFields count="15">
    <pivotField numFmtId="22" showAll="0"/>
    <pivotField showAll="0"/>
    <pivotField axis="axisRow" showAll="0">
      <items count="4">
        <item m="1" x="2"/>
        <item x="0"/>
        <item m="1" x="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3:C28" firstHeaderRow="0" firstDataRow="1" firstDataCol="1"/>
  <pivotFields count="15">
    <pivotField axis="axisRow" numFmtId="22" showAll="0">
      <items count="8">
        <item m="1" x="6"/>
        <item m="1" x="4"/>
        <item m="1" x="5"/>
        <item x="0"/>
        <item x="1"/>
        <item m="1" x="3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25">
    <i>
      <x/>
    </i>
    <i r="1">
      <x v="3"/>
    </i>
    <i r="1">
      <x v="4"/>
    </i>
    <i r="1">
      <x v="6"/>
    </i>
    <i>
      <x v="1"/>
    </i>
    <i r="1">
      <x v="3"/>
    </i>
    <i r="1">
      <x v="4"/>
    </i>
    <i r="1">
      <x v="6"/>
    </i>
    <i>
      <x v="2"/>
    </i>
    <i r="1">
      <x v="3"/>
    </i>
    <i r="1">
      <x v="4"/>
    </i>
    <i r="1">
      <x v="6"/>
    </i>
    <i>
      <x v="3"/>
    </i>
    <i r="1">
      <x v="3"/>
    </i>
    <i r="1">
      <x v="4"/>
    </i>
    <i r="1">
      <x v="6"/>
    </i>
    <i>
      <x v="4"/>
    </i>
    <i r="1">
      <x v="3"/>
    </i>
    <i r="1">
      <x v="4"/>
    </i>
    <i r="1">
      <x v="6"/>
    </i>
    <i>
      <x v="5"/>
    </i>
    <i r="1">
      <x v="3"/>
    </i>
    <i r="1">
      <x v="4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2" cacheId="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>
  <location ref="A3:B25" firstHeaderRow="1" firstDataRow="1" firstDataCol="1"/>
  <pivotFields count="15">
    <pivotField axis="axisRow" numFmtId="22" showAll="0">
      <items count="8">
        <item m="1" x="6"/>
        <item m="1" x="4"/>
        <item m="1" x="5"/>
        <item x="0"/>
        <item x="1"/>
        <item m="1"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2">
    <field x="0"/>
    <field x="8"/>
  </rowFields>
  <rowItems count="22">
    <i>
      <x v="3"/>
    </i>
    <i r="1">
      <x/>
    </i>
    <i r="1">
      <x v="1"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dataFields count="1">
    <dataField name="Soma de vidasGastas" fld="12" baseField="0" baseItem="0"/>
  </dataFields>
  <chartFormats count="1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" cacheId="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7">
  <location ref="A3:C20" firstHeaderRow="1" firstDataRow="1" firstDataCol="0"/>
  <pivotFields count="15"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" cacheId="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2">
  <location ref="A1:B20" firstHeaderRow="1" firstDataRow="1" firstDataCol="1"/>
  <pivotFields count="15">
    <pivotField axis="axisRow" numFmtId="22" showAll="0">
      <items count="8">
        <item h="1" m="1" x="6"/>
        <item h="1" m="1" x="4"/>
        <item h="1" m="1" x="5"/>
        <item x="0"/>
        <item x="1"/>
        <item h="1" m="1" x="3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2">
    <field x="8"/>
    <field x="0"/>
  </rowFields>
  <rowItems count="19">
    <i>
      <x/>
    </i>
    <i r="1">
      <x v="3"/>
    </i>
    <i r="1">
      <x v="4"/>
    </i>
    <i>
      <x v="1"/>
    </i>
    <i r="1">
      <x v="3"/>
    </i>
    <i r="1">
      <x v="4"/>
    </i>
    <i>
      <x v="2"/>
    </i>
    <i r="1">
      <x v="3"/>
    </i>
    <i r="1">
      <x v="4"/>
    </i>
    <i>
      <x v="3"/>
    </i>
    <i r="1">
      <x v="3"/>
    </i>
    <i r="1">
      <x v="4"/>
    </i>
    <i>
      <x v="4"/>
    </i>
    <i r="1">
      <x v="3"/>
    </i>
    <i r="1">
      <x v="4"/>
    </i>
    <i>
      <x v="5"/>
    </i>
    <i r="1">
      <x v="3"/>
    </i>
    <i r="1">
      <x v="4"/>
    </i>
    <i t="grand">
      <x/>
    </i>
  </rowItems>
  <colItems count="1">
    <i/>
  </colItems>
  <dataFields count="1">
    <dataField name="Soma de pontos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1" cacheId="9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3">
  <location ref="A3:E11" firstHeaderRow="1" firstDataRow="2" firstDataCol="1"/>
  <pivotFields count="15">
    <pivotField axis="axisCol" numFmtId="22" showAll="0">
      <items count="8">
        <item m="1" x="6"/>
        <item m="1" x="4"/>
        <item m="1" x="5"/>
        <item x="0"/>
        <item x="1"/>
        <item m="1"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4">
    <i>
      <x v="3"/>
    </i>
    <i>
      <x v="4"/>
    </i>
    <i>
      <x v="6"/>
    </i>
    <i t="grand">
      <x/>
    </i>
  </colItems>
  <dataFields count="1">
    <dataField name="Soma de pontos" fld="9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" sourceName="Jogador">
  <pivotTables>
    <pivotTable tabId="7" name="Tabela dinâmica6"/>
  </pivotTables>
  <data>
    <tabular pivotCacheId="1">
      <items count="7">
        <i x="0" s="1"/>
        <i x="1" s="1"/>
        <i x="2" s="1"/>
        <i x="6" s="1" nd="1"/>
        <i x="4" s="1" nd="1"/>
        <i x="5" s="1" nd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Jogador3" sourceName="Jogador">
  <pivotTables>
    <pivotTable tabId="15" name="Tabela dinâmica1"/>
  </pivotTables>
  <data>
    <tabular pivotCacheId="1">
      <items count="7">
        <i x="0" s="1"/>
        <i x="1" s="1"/>
        <i x="2" s="1"/>
        <i x="6" s="1" nd="1"/>
        <i x="4" s="1" nd="1"/>
        <i x="5" s="1" nd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" cache="SegmentaçãoDeDados_Jogador" caption="Jogador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gador 3" cache="SegmentaçãoDeDados_Jogador3" caption="Jogador" rowHeight="2349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3:E11"/>
  <sheetViews>
    <sheetView tabSelected="1" workbookViewId="0">
      <selection activeCell="D9" sqref="D8:D9"/>
    </sheetView>
  </sheetViews>
  <sheetFormatPr defaultRowHeight="15" x14ac:dyDescent="0.25"/>
  <cols>
    <col min="1" max="1" width="18" customWidth="1"/>
    <col min="2" max="4" width="21.140625" bestFit="1" customWidth="1"/>
    <col min="5" max="5" width="10.7109375" bestFit="1" customWidth="1"/>
  </cols>
  <sheetData>
    <row r="3" spans="1:5" x14ac:dyDescent="0.25">
      <c r="A3" s="4" t="s">
        <v>19</v>
      </c>
      <c r="B3" s="4" t="s">
        <v>18</v>
      </c>
    </row>
    <row r="4" spans="1:5" x14ac:dyDescent="0.25">
      <c r="A4" s="4" t="s">
        <v>13</v>
      </c>
      <c r="B4" s="2" t="s">
        <v>29</v>
      </c>
      <c r="C4" s="2" t="s">
        <v>31</v>
      </c>
      <c r="D4" s="2" t="s">
        <v>32</v>
      </c>
      <c r="E4" s="2" t="s">
        <v>14</v>
      </c>
    </row>
    <row r="5" spans="1:5" x14ac:dyDescent="0.25">
      <c r="A5" s="5">
        <v>0</v>
      </c>
      <c r="B5" s="3">
        <v>30</v>
      </c>
      <c r="C5" s="3">
        <v>30</v>
      </c>
      <c r="D5" s="3">
        <v>30</v>
      </c>
      <c r="E5" s="3">
        <v>90</v>
      </c>
    </row>
    <row r="6" spans="1:5" x14ac:dyDescent="0.25">
      <c r="A6" s="5">
        <v>1</v>
      </c>
      <c r="B6" s="3">
        <v>55</v>
      </c>
      <c r="C6" s="3">
        <v>55</v>
      </c>
      <c r="D6" s="3">
        <v>55</v>
      </c>
      <c r="E6" s="3">
        <v>165</v>
      </c>
    </row>
    <row r="7" spans="1:5" x14ac:dyDescent="0.25">
      <c r="A7" s="5">
        <v>2</v>
      </c>
      <c r="B7" s="3">
        <v>110</v>
      </c>
      <c r="C7" s="3">
        <v>110</v>
      </c>
      <c r="D7" s="3">
        <v>110</v>
      </c>
      <c r="E7" s="3">
        <v>330</v>
      </c>
    </row>
    <row r="8" spans="1:5" x14ac:dyDescent="0.25">
      <c r="A8" s="5">
        <v>3</v>
      </c>
      <c r="B8" s="3">
        <v>200</v>
      </c>
      <c r="C8" s="3">
        <v>200</v>
      </c>
      <c r="D8" s="3">
        <v>200</v>
      </c>
      <c r="E8" s="3">
        <v>600</v>
      </c>
    </row>
    <row r="9" spans="1:5" x14ac:dyDescent="0.25">
      <c r="A9" s="5">
        <v>4</v>
      </c>
      <c r="B9" s="3">
        <v>320</v>
      </c>
      <c r="C9" s="3">
        <v>320</v>
      </c>
      <c r="D9" s="3">
        <v>320</v>
      </c>
      <c r="E9" s="3">
        <v>960</v>
      </c>
    </row>
    <row r="10" spans="1:5" x14ac:dyDescent="0.25">
      <c r="A10" s="5">
        <v>5</v>
      </c>
      <c r="B10" s="3">
        <v>470</v>
      </c>
      <c r="C10" s="3">
        <v>470</v>
      </c>
      <c r="D10" s="3">
        <v>470</v>
      </c>
      <c r="E10" s="3">
        <v>1410</v>
      </c>
    </row>
    <row r="11" spans="1:5" x14ac:dyDescent="0.25">
      <c r="A11" s="5" t="s">
        <v>14</v>
      </c>
      <c r="B11" s="3">
        <v>1185</v>
      </c>
      <c r="C11" s="3">
        <v>1185</v>
      </c>
      <c r="D11" s="3">
        <v>1185</v>
      </c>
      <c r="E11" s="3">
        <v>3555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C3"/>
  <sheetViews>
    <sheetView topLeftCell="B4" workbookViewId="0"/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13</v>
      </c>
      <c r="B1" t="s">
        <v>17</v>
      </c>
      <c r="C1" t="s">
        <v>16</v>
      </c>
    </row>
    <row r="2" spans="1:3" x14ac:dyDescent="0.25">
      <c r="A2" s="5">
        <v>9</v>
      </c>
      <c r="B2" s="3">
        <v>6</v>
      </c>
      <c r="C2" s="3">
        <v>144</v>
      </c>
    </row>
    <row r="3" spans="1:3" x14ac:dyDescent="0.25">
      <c r="A3" s="5" t="s">
        <v>14</v>
      </c>
      <c r="B3" s="3">
        <v>6</v>
      </c>
      <c r="C3" s="3">
        <v>144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C3"/>
  <sheetViews>
    <sheetView workbookViewId="0"/>
  </sheetViews>
  <sheetFormatPr defaultRowHeight="15" x14ac:dyDescent="0.25"/>
  <cols>
    <col min="1" max="1" width="18" bestFit="1" customWidth="1"/>
    <col min="2" max="2" width="13.85546875" bestFit="1" customWidth="1"/>
    <col min="3" max="3" width="13.42578125" bestFit="1" customWidth="1"/>
  </cols>
  <sheetData>
    <row r="1" spans="1:3" x14ac:dyDescent="0.25">
      <c r="A1" s="4" t="s">
        <v>13</v>
      </c>
      <c r="B1" t="s">
        <v>17</v>
      </c>
      <c r="C1" t="s">
        <v>16</v>
      </c>
    </row>
    <row r="2" spans="1:3" x14ac:dyDescent="0.25">
      <c r="A2" s="5" t="s">
        <v>11</v>
      </c>
      <c r="B2" s="3">
        <v>6</v>
      </c>
      <c r="C2" s="3">
        <v>144</v>
      </c>
    </row>
    <row r="3" spans="1:3" x14ac:dyDescent="0.25">
      <c r="A3" s="5" t="s">
        <v>14</v>
      </c>
      <c r="B3" s="3">
        <v>6</v>
      </c>
      <c r="C3" s="3">
        <v>144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3:C28"/>
  <sheetViews>
    <sheetView topLeftCell="B10" workbookViewId="0">
      <selection activeCell="D9" sqref="D9"/>
    </sheetView>
  </sheetViews>
  <sheetFormatPr defaultRowHeight="15" x14ac:dyDescent="0.25"/>
  <cols>
    <col min="1" max="1" width="24.85546875" bestFit="1" customWidth="1"/>
    <col min="2" max="2" width="13.85546875" bestFit="1" customWidth="1"/>
    <col min="3" max="3" width="13.42578125" bestFit="1" customWidth="1"/>
    <col min="4" max="4" width="12.85546875" bestFit="1" customWidth="1"/>
  </cols>
  <sheetData>
    <row r="3" spans="1:3" x14ac:dyDescent="0.25">
      <c r="A3" s="4" t="s">
        <v>13</v>
      </c>
      <c r="B3" t="s">
        <v>17</v>
      </c>
      <c r="C3" t="s">
        <v>16</v>
      </c>
    </row>
    <row r="4" spans="1:3" x14ac:dyDescent="0.25">
      <c r="A4" s="5">
        <v>0</v>
      </c>
      <c r="B4" s="3">
        <v>0</v>
      </c>
      <c r="C4" s="3">
        <v>9</v>
      </c>
    </row>
    <row r="5" spans="1:3" x14ac:dyDescent="0.25">
      <c r="A5" s="6" t="s">
        <v>29</v>
      </c>
      <c r="B5" s="3">
        <v>0</v>
      </c>
      <c r="C5" s="3">
        <v>3</v>
      </c>
    </row>
    <row r="6" spans="1:3" x14ac:dyDescent="0.25">
      <c r="A6" s="6" t="s">
        <v>31</v>
      </c>
      <c r="B6" s="3">
        <v>0</v>
      </c>
      <c r="C6" s="3">
        <v>3</v>
      </c>
    </row>
    <row r="7" spans="1:3" x14ac:dyDescent="0.25">
      <c r="A7" s="6" t="s">
        <v>32</v>
      </c>
      <c r="B7" s="3">
        <v>0</v>
      </c>
      <c r="C7" s="3">
        <v>3</v>
      </c>
    </row>
    <row r="8" spans="1:3" x14ac:dyDescent="0.25">
      <c r="A8" s="5">
        <v>1</v>
      </c>
      <c r="B8" s="3">
        <v>3</v>
      </c>
      <c r="C8" s="3">
        <v>9</v>
      </c>
    </row>
    <row r="9" spans="1:3" x14ac:dyDescent="0.25">
      <c r="A9" s="6" t="s">
        <v>29</v>
      </c>
      <c r="B9" s="3">
        <v>1</v>
      </c>
      <c r="C9" s="3">
        <v>3</v>
      </c>
    </row>
    <row r="10" spans="1:3" x14ac:dyDescent="0.25">
      <c r="A10" s="6" t="s">
        <v>31</v>
      </c>
      <c r="B10" s="3">
        <v>1</v>
      </c>
      <c r="C10" s="3">
        <v>3</v>
      </c>
    </row>
    <row r="11" spans="1:3" x14ac:dyDescent="0.25">
      <c r="A11" s="6" t="s">
        <v>32</v>
      </c>
      <c r="B11" s="3">
        <v>1</v>
      </c>
      <c r="C11" s="3">
        <v>3</v>
      </c>
    </row>
    <row r="12" spans="1:3" x14ac:dyDescent="0.25">
      <c r="A12" s="5">
        <v>2</v>
      </c>
      <c r="B12" s="3">
        <v>3</v>
      </c>
      <c r="C12" s="3">
        <v>18</v>
      </c>
    </row>
    <row r="13" spans="1:3" x14ac:dyDescent="0.25">
      <c r="A13" s="6" t="s">
        <v>29</v>
      </c>
      <c r="B13" s="3">
        <v>1</v>
      </c>
      <c r="C13" s="3">
        <v>6</v>
      </c>
    </row>
    <row r="14" spans="1:3" x14ac:dyDescent="0.25">
      <c r="A14" s="6" t="s">
        <v>31</v>
      </c>
      <c r="B14" s="3">
        <v>1</v>
      </c>
      <c r="C14" s="3">
        <v>6</v>
      </c>
    </row>
    <row r="15" spans="1:3" x14ac:dyDescent="0.25">
      <c r="A15" s="6" t="s">
        <v>32</v>
      </c>
      <c r="B15" s="3">
        <v>1</v>
      </c>
      <c r="C15" s="3">
        <v>6</v>
      </c>
    </row>
    <row r="16" spans="1:3" x14ac:dyDescent="0.25">
      <c r="A16" s="5">
        <v>3</v>
      </c>
      <c r="B16" s="3">
        <v>0</v>
      </c>
      <c r="C16" s="3">
        <v>27</v>
      </c>
    </row>
    <row r="17" spans="1:3" x14ac:dyDescent="0.25">
      <c r="A17" s="6" t="s">
        <v>29</v>
      </c>
      <c r="B17" s="3">
        <v>0</v>
      </c>
      <c r="C17" s="3">
        <v>9</v>
      </c>
    </row>
    <row r="18" spans="1:3" x14ac:dyDescent="0.25">
      <c r="A18" s="6" t="s">
        <v>31</v>
      </c>
      <c r="B18" s="3">
        <v>0</v>
      </c>
      <c r="C18" s="3">
        <v>9</v>
      </c>
    </row>
    <row r="19" spans="1:3" x14ac:dyDescent="0.25">
      <c r="A19" s="6" t="s">
        <v>32</v>
      </c>
      <c r="B19" s="3">
        <v>0</v>
      </c>
      <c r="C19" s="3">
        <v>9</v>
      </c>
    </row>
    <row r="20" spans="1:3" x14ac:dyDescent="0.25">
      <c r="A20" s="5">
        <v>4</v>
      </c>
      <c r="B20" s="3">
        <v>0</v>
      </c>
      <c r="C20" s="3">
        <v>36</v>
      </c>
    </row>
    <row r="21" spans="1:3" x14ac:dyDescent="0.25">
      <c r="A21" s="6" t="s">
        <v>29</v>
      </c>
      <c r="B21" s="3">
        <v>0</v>
      </c>
      <c r="C21" s="3">
        <v>12</v>
      </c>
    </row>
    <row r="22" spans="1:3" x14ac:dyDescent="0.25">
      <c r="A22" s="6" t="s">
        <v>31</v>
      </c>
      <c r="B22" s="3">
        <v>0</v>
      </c>
      <c r="C22" s="3">
        <v>12</v>
      </c>
    </row>
    <row r="23" spans="1:3" x14ac:dyDescent="0.25">
      <c r="A23" s="6" t="s">
        <v>32</v>
      </c>
      <c r="B23" s="3">
        <v>0</v>
      </c>
      <c r="C23" s="3">
        <v>12</v>
      </c>
    </row>
    <row r="24" spans="1:3" x14ac:dyDescent="0.25">
      <c r="A24" s="5">
        <v>5</v>
      </c>
      <c r="B24" s="3">
        <v>0</v>
      </c>
      <c r="C24" s="3">
        <v>45</v>
      </c>
    </row>
    <row r="25" spans="1:3" x14ac:dyDescent="0.25">
      <c r="A25" s="6" t="s">
        <v>29</v>
      </c>
      <c r="B25" s="3">
        <v>0</v>
      </c>
      <c r="C25" s="3">
        <v>15</v>
      </c>
    </row>
    <row r="26" spans="1:3" x14ac:dyDescent="0.25">
      <c r="A26" s="6" t="s">
        <v>31</v>
      </c>
      <c r="B26" s="3">
        <v>0</v>
      </c>
      <c r="C26" s="3">
        <v>15</v>
      </c>
    </row>
    <row r="27" spans="1:3" x14ac:dyDescent="0.25">
      <c r="A27" s="6" t="s">
        <v>32</v>
      </c>
      <c r="B27" s="3">
        <v>0</v>
      </c>
      <c r="C27" s="3">
        <v>15</v>
      </c>
    </row>
    <row r="28" spans="1:3" x14ac:dyDescent="0.25">
      <c r="A28" s="5" t="s">
        <v>14</v>
      </c>
      <c r="B28" s="3">
        <v>6</v>
      </c>
      <c r="C28" s="3">
        <v>144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3:B25"/>
  <sheetViews>
    <sheetView topLeftCell="A4" workbookViewId="0">
      <selection activeCell="A4" sqref="A4:B25"/>
    </sheetView>
  </sheetViews>
  <sheetFormatPr defaultRowHeight="15" x14ac:dyDescent="0.25"/>
  <cols>
    <col min="1" max="1" width="23" customWidth="1"/>
    <col min="2" max="2" width="19.7109375" customWidth="1"/>
    <col min="3" max="3" width="13.5703125" customWidth="1"/>
  </cols>
  <sheetData>
    <row r="3" spans="1:2" x14ac:dyDescent="0.25">
      <c r="A3" s="4" t="s">
        <v>13</v>
      </c>
      <c r="B3" t="s">
        <v>15</v>
      </c>
    </row>
    <row r="4" spans="1:2" x14ac:dyDescent="0.25">
      <c r="A4" s="7" t="s">
        <v>29</v>
      </c>
      <c r="B4" s="3">
        <v>0</v>
      </c>
    </row>
    <row r="5" spans="1:2" x14ac:dyDescent="0.25">
      <c r="A5" s="17">
        <v>0</v>
      </c>
      <c r="B5" s="3">
        <v>0</v>
      </c>
    </row>
    <row r="6" spans="1:2" x14ac:dyDescent="0.25">
      <c r="A6" s="17">
        <v>1</v>
      </c>
      <c r="B6" s="3">
        <v>0</v>
      </c>
    </row>
    <row r="7" spans="1:2" x14ac:dyDescent="0.25">
      <c r="A7" s="17">
        <v>2</v>
      </c>
      <c r="B7" s="3">
        <v>0</v>
      </c>
    </row>
    <row r="8" spans="1:2" x14ac:dyDescent="0.25">
      <c r="A8" s="17">
        <v>3</v>
      </c>
      <c r="B8" s="3">
        <v>0</v>
      </c>
    </row>
    <row r="9" spans="1:2" x14ac:dyDescent="0.25">
      <c r="A9" s="17">
        <v>4</v>
      </c>
      <c r="B9" s="3">
        <v>0</v>
      </c>
    </row>
    <row r="10" spans="1:2" x14ac:dyDescent="0.25">
      <c r="A10" s="17">
        <v>5</v>
      </c>
      <c r="B10" s="3">
        <v>0</v>
      </c>
    </row>
    <row r="11" spans="1:2" x14ac:dyDescent="0.25">
      <c r="A11" s="7" t="s">
        <v>31</v>
      </c>
      <c r="B11" s="3">
        <v>3</v>
      </c>
    </row>
    <row r="12" spans="1:2" x14ac:dyDescent="0.25">
      <c r="A12" s="17">
        <v>0</v>
      </c>
      <c r="B12" s="3">
        <v>0</v>
      </c>
    </row>
    <row r="13" spans="1:2" x14ac:dyDescent="0.25">
      <c r="A13" s="17">
        <v>1</v>
      </c>
      <c r="B13" s="3">
        <v>0</v>
      </c>
    </row>
    <row r="14" spans="1:2" x14ac:dyDescent="0.25">
      <c r="A14" s="17">
        <v>2</v>
      </c>
      <c r="B14" s="3">
        <v>0</v>
      </c>
    </row>
    <row r="15" spans="1:2" x14ac:dyDescent="0.25">
      <c r="A15" s="17">
        <v>3</v>
      </c>
      <c r="B15" s="3">
        <v>0</v>
      </c>
    </row>
    <row r="16" spans="1:2" x14ac:dyDescent="0.25">
      <c r="A16" s="17">
        <v>4</v>
      </c>
      <c r="B16" s="3">
        <v>0</v>
      </c>
    </row>
    <row r="17" spans="1:2" x14ac:dyDescent="0.25">
      <c r="A17" s="17">
        <v>5</v>
      </c>
      <c r="B17" s="3">
        <v>3</v>
      </c>
    </row>
    <row r="18" spans="1:2" x14ac:dyDescent="0.25">
      <c r="A18" s="7" t="s">
        <v>32</v>
      </c>
      <c r="B18" s="3">
        <v>18</v>
      </c>
    </row>
    <row r="19" spans="1:2" x14ac:dyDescent="0.25">
      <c r="A19" s="17">
        <v>0</v>
      </c>
      <c r="B19" s="3">
        <v>3</v>
      </c>
    </row>
    <row r="20" spans="1:2" x14ac:dyDescent="0.25">
      <c r="A20" s="17">
        <v>1</v>
      </c>
      <c r="B20" s="3">
        <v>3</v>
      </c>
    </row>
    <row r="21" spans="1:2" x14ac:dyDescent="0.25">
      <c r="A21" s="17">
        <v>2</v>
      </c>
      <c r="B21" s="3">
        <v>3</v>
      </c>
    </row>
    <row r="22" spans="1:2" x14ac:dyDescent="0.25">
      <c r="A22" s="17">
        <v>3</v>
      </c>
      <c r="B22" s="3">
        <v>3</v>
      </c>
    </row>
    <row r="23" spans="1:2" x14ac:dyDescent="0.25">
      <c r="A23" s="17">
        <v>4</v>
      </c>
      <c r="B23" s="3">
        <v>3</v>
      </c>
    </row>
    <row r="24" spans="1:2" x14ac:dyDescent="0.25">
      <c r="A24" s="17">
        <v>5</v>
      </c>
      <c r="B24" s="3">
        <v>3</v>
      </c>
    </row>
    <row r="25" spans="1:2" x14ac:dyDescent="0.25">
      <c r="A25" s="7" t="s">
        <v>14</v>
      </c>
      <c r="B25" s="3">
        <v>21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7"/>
  <dimension ref="A3:C20"/>
  <sheetViews>
    <sheetView workbookViewId="0">
      <selection activeCell="A3" sqref="A3"/>
    </sheetView>
  </sheetViews>
  <sheetFormatPr defaultRowHeight="15" x14ac:dyDescent="0.25"/>
  <cols>
    <col min="1" max="1" width="13.85546875" customWidth="1"/>
    <col min="2" max="2" width="11.85546875" customWidth="1"/>
  </cols>
  <sheetData>
    <row r="3" spans="1:3" x14ac:dyDescent="0.25">
      <c r="A3" s="8"/>
      <c r="B3" s="9"/>
      <c r="C3" s="10"/>
    </row>
    <row r="4" spans="1:3" x14ac:dyDescent="0.25">
      <c r="A4" s="11"/>
      <c r="B4" s="12"/>
      <c r="C4" s="13"/>
    </row>
    <row r="5" spans="1:3" x14ac:dyDescent="0.25">
      <c r="A5" s="11"/>
      <c r="B5" s="12"/>
      <c r="C5" s="13"/>
    </row>
    <row r="6" spans="1:3" x14ac:dyDescent="0.25">
      <c r="A6" s="11"/>
      <c r="B6" s="12"/>
      <c r="C6" s="13"/>
    </row>
    <row r="7" spans="1:3" x14ac:dyDescent="0.25">
      <c r="A7" s="11"/>
      <c r="B7" s="12"/>
      <c r="C7" s="13"/>
    </row>
    <row r="8" spans="1:3" x14ac:dyDescent="0.25">
      <c r="A8" s="11"/>
      <c r="B8" s="12"/>
      <c r="C8" s="13"/>
    </row>
    <row r="9" spans="1:3" x14ac:dyDescent="0.25">
      <c r="A9" s="11"/>
      <c r="B9" s="12"/>
      <c r="C9" s="13"/>
    </row>
    <row r="10" spans="1:3" x14ac:dyDescent="0.25">
      <c r="A10" s="11"/>
      <c r="B10" s="12"/>
      <c r="C10" s="13"/>
    </row>
    <row r="11" spans="1:3" x14ac:dyDescent="0.25">
      <c r="A11" s="11"/>
      <c r="B11" s="12"/>
      <c r="C11" s="13"/>
    </row>
    <row r="12" spans="1:3" x14ac:dyDescent="0.25">
      <c r="A12" s="11"/>
      <c r="B12" s="12"/>
      <c r="C12" s="13"/>
    </row>
    <row r="13" spans="1:3" x14ac:dyDescent="0.25">
      <c r="A13" s="11"/>
      <c r="B13" s="12"/>
      <c r="C13" s="13"/>
    </row>
    <row r="14" spans="1:3" x14ac:dyDescent="0.25">
      <c r="A14" s="11"/>
      <c r="B14" s="12"/>
      <c r="C14" s="13"/>
    </row>
    <row r="15" spans="1:3" x14ac:dyDescent="0.25">
      <c r="A15" s="11"/>
      <c r="B15" s="12"/>
      <c r="C15" s="13"/>
    </row>
    <row r="16" spans="1:3" x14ac:dyDescent="0.25">
      <c r="A16" s="11"/>
      <c r="B16" s="12"/>
      <c r="C16" s="13"/>
    </row>
    <row r="17" spans="1:3" x14ac:dyDescent="0.25">
      <c r="A17" s="11"/>
      <c r="B17" s="12"/>
      <c r="C17" s="13"/>
    </row>
    <row r="18" spans="1:3" x14ac:dyDescent="0.25">
      <c r="A18" s="11"/>
      <c r="B18" s="12"/>
      <c r="C18" s="13"/>
    </row>
    <row r="19" spans="1:3" x14ac:dyDescent="0.25">
      <c r="A19" s="11"/>
      <c r="B19" s="12"/>
      <c r="C19" s="13"/>
    </row>
    <row r="20" spans="1:3" x14ac:dyDescent="0.25">
      <c r="A20" s="14"/>
      <c r="B20" s="15"/>
      <c r="C20" s="16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/>
  <dimension ref="A1:B20"/>
  <sheetViews>
    <sheetView workbookViewId="0"/>
  </sheetViews>
  <sheetFormatPr defaultRowHeight="15" x14ac:dyDescent="0.25"/>
  <cols>
    <col min="1" max="1" width="24.85546875" bestFit="1" customWidth="1"/>
    <col min="2" max="2" width="15.28515625" bestFit="1" customWidth="1"/>
  </cols>
  <sheetData>
    <row r="1" spans="1:2" x14ac:dyDescent="0.25">
      <c r="A1" s="4" t="s">
        <v>13</v>
      </c>
      <c r="B1" t="s">
        <v>19</v>
      </c>
    </row>
    <row r="2" spans="1:2" x14ac:dyDescent="0.25">
      <c r="A2" s="5">
        <v>0</v>
      </c>
      <c r="B2" s="3">
        <v>60</v>
      </c>
    </row>
    <row r="3" spans="1:2" x14ac:dyDescent="0.25">
      <c r="A3" s="6" t="s">
        <v>29</v>
      </c>
      <c r="B3" s="3">
        <v>30</v>
      </c>
    </row>
    <row r="4" spans="1:2" x14ac:dyDescent="0.25">
      <c r="A4" s="6" t="s">
        <v>31</v>
      </c>
      <c r="B4" s="3">
        <v>30</v>
      </c>
    </row>
    <row r="5" spans="1:2" x14ac:dyDescent="0.25">
      <c r="A5" s="5">
        <v>1</v>
      </c>
      <c r="B5" s="3">
        <v>110</v>
      </c>
    </row>
    <row r="6" spans="1:2" x14ac:dyDescent="0.25">
      <c r="A6" s="6" t="s">
        <v>29</v>
      </c>
      <c r="B6" s="3">
        <v>55</v>
      </c>
    </row>
    <row r="7" spans="1:2" x14ac:dyDescent="0.25">
      <c r="A7" s="6" t="s">
        <v>31</v>
      </c>
      <c r="B7" s="3">
        <v>55</v>
      </c>
    </row>
    <row r="8" spans="1:2" x14ac:dyDescent="0.25">
      <c r="A8" s="5">
        <v>2</v>
      </c>
      <c r="B8" s="3">
        <v>220</v>
      </c>
    </row>
    <row r="9" spans="1:2" x14ac:dyDescent="0.25">
      <c r="A9" s="6" t="s">
        <v>29</v>
      </c>
      <c r="B9" s="3">
        <v>110</v>
      </c>
    </row>
    <row r="10" spans="1:2" x14ac:dyDescent="0.25">
      <c r="A10" s="6" t="s">
        <v>31</v>
      </c>
      <c r="B10" s="3">
        <v>110</v>
      </c>
    </row>
    <row r="11" spans="1:2" x14ac:dyDescent="0.25">
      <c r="A11" s="5">
        <v>3</v>
      </c>
      <c r="B11" s="3">
        <v>400</v>
      </c>
    </row>
    <row r="12" spans="1:2" x14ac:dyDescent="0.25">
      <c r="A12" s="6" t="s">
        <v>29</v>
      </c>
      <c r="B12" s="3">
        <v>200</v>
      </c>
    </row>
    <row r="13" spans="1:2" x14ac:dyDescent="0.25">
      <c r="A13" s="6" t="s">
        <v>31</v>
      </c>
      <c r="B13" s="3">
        <v>200</v>
      </c>
    </row>
    <row r="14" spans="1:2" x14ac:dyDescent="0.25">
      <c r="A14" s="5">
        <v>4</v>
      </c>
      <c r="B14" s="3">
        <v>640</v>
      </c>
    </row>
    <row r="15" spans="1:2" x14ac:dyDescent="0.25">
      <c r="A15" s="6" t="s">
        <v>29</v>
      </c>
      <c r="B15" s="3">
        <v>320</v>
      </c>
    </row>
    <row r="16" spans="1:2" x14ac:dyDescent="0.25">
      <c r="A16" s="6" t="s">
        <v>31</v>
      </c>
      <c r="B16" s="3">
        <v>320</v>
      </c>
    </row>
    <row r="17" spans="1:2" x14ac:dyDescent="0.25">
      <c r="A17" s="5">
        <v>5</v>
      </c>
      <c r="B17" s="3">
        <v>940</v>
      </c>
    </row>
    <row r="18" spans="1:2" x14ac:dyDescent="0.25">
      <c r="A18" s="6" t="s">
        <v>29</v>
      </c>
      <c r="B18" s="3">
        <v>470</v>
      </c>
    </row>
    <row r="19" spans="1:2" x14ac:dyDescent="0.25">
      <c r="A19" s="6" t="s">
        <v>31</v>
      </c>
      <c r="B19" s="3">
        <v>470</v>
      </c>
    </row>
    <row r="20" spans="1:2" x14ac:dyDescent="0.25">
      <c r="A20" s="5" t="s">
        <v>14</v>
      </c>
      <c r="B20" s="3">
        <v>2370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3"/>
  <dimension ref="A3:E11"/>
  <sheetViews>
    <sheetView workbookViewId="0">
      <selection activeCell="A5" sqref="A5:D5"/>
    </sheetView>
  </sheetViews>
  <sheetFormatPr defaultRowHeight="15" x14ac:dyDescent="0.25"/>
  <cols>
    <col min="1" max="1" width="18" customWidth="1"/>
    <col min="2" max="4" width="21.140625" bestFit="1" customWidth="1"/>
    <col min="5" max="5" width="10.7109375" bestFit="1" customWidth="1"/>
    <col min="6" max="6" width="18.5703125" customWidth="1"/>
    <col min="7" max="7" width="19.5703125" customWidth="1"/>
    <col min="8" max="8" width="17.7109375" customWidth="1"/>
  </cols>
  <sheetData>
    <row r="3" spans="1:5" x14ac:dyDescent="0.25">
      <c r="A3" s="4" t="s">
        <v>19</v>
      </c>
      <c r="B3" s="4" t="s">
        <v>18</v>
      </c>
    </row>
    <row r="4" spans="1:5" x14ac:dyDescent="0.25">
      <c r="A4" s="4" t="s">
        <v>13</v>
      </c>
      <c r="B4" s="2" t="s">
        <v>29</v>
      </c>
      <c r="C4" s="2" t="s">
        <v>31</v>
      </c>
      <c r="D4" s="2" t="s">
        <v>32</v>
      </c>
      <c r="E4" s="2" t="s">
        <v>14</v>
      </c>
    </row>
    <row r="5" spans="1:5" x14ac:dyDescent="0.25">
      <c r="A5" s="5">
        <v>0</v>
      </c>
      <c r="B5" s="3">
        <v>30</v>
      </c>
      <c r="C5" s="3">
        <v>30</v>
      </c>
      <c r="D5" s="3">
        <v>30</v>
      </c>
      <c r="E5" s="3">
        <v>90</v>
      </c>
    </row>
    <row r="6" spans="1:5" x14ac:dyDescent="0.25">
      <c r="A6" s="5">
        <v>1</v>
      </c>
      <c r="B6" s="3">
        <v>55</v>
      </c>
      <c r="C6" s="3">
        <v>55</v>
      </c>
      <c r="D6" s="3">
        <v>55</v>
      </c>
      <c r="E6" s="3">
        <v>165</v>
      </c>
    </row>
    <row r="7" spans="1:5" x14ac:dyDescent="0.25">
      <c r="A7" s="5">
        <v>2</v>
      </c>
      <c r="B7" s="3">
        <v>110</v>
      </c>
      <c r="C7" s="3">
        <v>110</v>
      </c>
      <c r="D7" s="3">
        <v>110</v>
      </c>
      <c r="E7" s="3">
        <v>330</v>
      </c>
    </row>
    <row r="8" spans="1:5" x14ac:dyDescent="0.25">
      <c r="A8" s="5">
        <v>3</v>
      </c>
      <c r="B8" s="3">
        <v>200</v>
      </c>
      <c r="C8" s="3">
        <v>200</v>
      </c>
      <c r="D8" s="3">
        <v>200</v>
      </c>
      <c r="E8" s="3">
        <v>600</v>
      </c>
    </row>
    <row r="9" spans="1:5" x14ac:dyDescent="0.25">
      <c r="A9" s="5">
        <v>4</v>
      </c>
      <c r="B9" s="3">
        <v>320</v>
      </c>
      <c r="C9" s="3">
        <v>320</v>
      </c>
      <c r="D9" s="3">
        <v>320</v>
      </c>
      <c r="E9" s="3">
        <v>960</v>
      </c>
    </row>
    <row r="10" spans="1:5" x14ac:dyDescent="0.25">
      <c r="A10" s="5">
        <v>5</v>
      </c>
      <c r="B10" s="3">
        <v>470</v>
      </c>
      <c r="C10" s="3">
        <v>470</v>
      </c>
      <c r="D10" s="3">
        <v>470</v>
      </c>
      <c r="E10" s="3">
        <v>1410</v>
      </c>
    </row>
    <row r="11" spans="1:5" x14ac:dyDescent="0.25">
      <c r="A11" s="5" t="s">
        <v>14</v>
      </c>
      <c r="B11" s="3">
        <v>1185</v>
      </c>
      <c r="C11" s="3">
        <v>1185</v>
      </c>
      <c r="D11" s="3">
        <v>1185</v>
      </c>
      <c r="E11" s="3">
        <v>3555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35"/>
  <sheetViews>
    <sheetView workbookViewId="0">
      <selection activeCell="A2" sqref="A2"/>
    </sheetView>
  </sheetViews>
  <sheetFormatPr defaultRowHeight="15" x14ac:dyDescent="0.25"/>
  <cols>
    <col min="1" max="1" width="21" bestFit="1" customWidth="1"/>
    <col min="2" max="2" width="2" customWidth="1"/>
    <col min="3" max="3" width="10.42578125" bestFit="1" customWidth="1"/>
    <col min="4" max="4" width="11.5703125" customWidth="1"/>
    <col min="5" max="5" width="2" customWidth="1"/>
    <col min="6" max="6" width="3" customWidth="1"/>
    <col min="7" max="7" width="4" customWidth="1"/>
    <col min="8" max="9" width="2" customWidth="1"/>
    <col min="10" max="10" width="4" customWidth="1"/>
    <col min="11" max="11" width="2" customWidth="1"/>
    <col min="12" max="12" width="5" customWidth="1"/>
    <col min="14" max="14" width="8.5703125" bestFit="1" customWidth="1"/>
    <col min="16" max="16" width="15.7109375" bestFit="1" customWidth="1"/>
    <col min="18" max="18" width="21" bestFit="1" customWidth="1"/>
  </cols>
  <sheetData>
    <row r="1" spans="1:24" x14ac:dyDescent="0.25">
      <c r="A1" t="s">
        <v>0</v>
      </c>
      <c r="B1" t="s">
        <v>25</v>
      </c>
      <c r="C1" t="s">
        <v>26</v>
      </c>
      <c r="D1" t="s">
        <v>27</v>
      </c>
      <c r="E1" t="s">
        <v>28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s="1" t="s">
        <v>8</v>
      </c>
      <c r="R1" s="2"/>
      <c r="S1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25">
      <c r="A2" s="2" t="s">
        <v>29</v>
      </c>
      <c r="B2">
        <v>9</v>
      </c>
      <c r="C2" t="s">
        <v>11</v>
      </c>
      <c r="D2" t="s">
        <v>12</v>
      </c>
      <c r="E2">
        <v>0</v>
      </c>
      <c r="F2">
        <v>3</v>
      </c>
      <c r="G2">
        <v>9</v>
      </c>
      <c r="H2">
        <v>3</v>
      </c>
      <c r="I2">
        <v>0</v>
      </c>
      <c r="J2">
        <v>30</v>
      </c>
      <c r="K2">
        <v>0</v>
      </c>
      <c r="L2" t="s">
        <v>30</v>
      </c>
      <c r="M2">
        <f>3-H2</f>
        <v>0</v>
      </c>
      <c r="R2" s="2" t="s">
        <v>31</v>
      </c>
      <c r="S2">
        <v>30</v>
      </c>
      <c r="T2">
        <v>55</v>
      </c>
      <c r="U2">
        <v>110</v>
      </c>
      <c r="V2">
        <v>200</v>
      </c>
      <c r="W2">
        <v>320</v>
      </c>
      <c r="X2">
        <v>470</v>
      </c>
    </row>
    <row r="3" spans="1:24" x14ac:dyDescent="0.25">
      <c r="A3" s="2" t="s">
        <v>29</v>
      </c>
      <c r="B3">
        <v>9</v>
      </c>
      <c r="C3" t="s">
        <v>11</v>
      </c>
      <c r="D3" t="s">
        <v>12</v>
      </c>
      <c r="E3">
        <v>1</v>
      </c>
      <c r="F3">
        <v>3</v>
      </c>
      <c r="G3">
        <v>22</v>
      </c>
      <c r="H3">
        <v>3</v>
      </c>
      <c r="I3">
        <v>1</v>
      </c>
      <c r="J3">
        <v>55</v>
      </c>
      <c r="K3">
        <v>0</v>
      </c>
      <c r="L3" t="s">
        <v>9</v>
      </c>
      <c r="M3">
        <f t="shared" ref="M3:M12" si="0">3-H3</f>
        <v>0</v>
      </c>
      <c r="R3" s="2" t="s">
        <v>29</v>
      </c>
      <c r="S3">
        <v>30</v>
      </c>
      <c r="T3">
        <v>55</v>
      </c>
      <c r="U3">
        <v>110</v>
      </c>
      <c r="V3">
        <v>200</v>
      </c>
      <c r="W3">
        <v>320</v>
      </c>
      <c r="X3">
        <v>470</v>
      </c>
    </row>
    <row r="4" spans="1:24" x14ac:dyDescent="0.25">
      <c r="A4" s="2" t="s">
        <v>29</v>
      </c>
      <c r="B4">
        <v>9</v>
      </c>
      <c r="C4" t="s">
        <v>11</v>
      </c>
      <c r="D4" t="s">
        <v>12</v>
      </c>
      <c r="E4">
        <v>1</v>
      </c>
      <c r="F4">
        <v>6</v>
      </c>
      <c r="G4">
        <v>40</v>
      </c>
      <c r="H4">
        <v>3</v>
      </c>
      <c r="I4">
        <v>2</v>
      </c>
      <c r="J4">
        <v>110</v>
      </c>
      <c r="K4">
        <v>0</v>
      </c>
      <c r="L4" t="s">
        <v>9</v>
      </c>
      <c r="M4">
        <f t="shared" si="0"/>
        <v>0</v>
      </c>
      <c r="R4" s="2" t="s">
        <v>24</v>
      </c>
      <c r="S4">
        <v>30</v>
      </c>
      <c r="T4">
        <v>55</v>
      </c>
      <c r="U4">
        <v>110</v>
      </c>
      <c r="V4">
        <v>200</v>
      </c>
      <c r="W4">
        <v>320</v>
      </c>
      <c r="X4">
        <v>470</v>
      </c>
    </row>
    <row r="5" spans="1:24" x14ac:dyDescent="0.25">
      <c r="A5" s="2" t="s">
        <v>29</v>
      </c>
      <c r="B5">
        <v>9</v>
      </c>
      <c r="C5" t="s">
        <v>11</v>
      </c>
      <c r="D5" t="s">
        <v>12</v>
      </c>
      <c r="E5">
        <v>0</v>
      </c>
      <c r="F5">
        <v>9</v>
      </c>
      <c r="G5">
        <v>59</v>
      </c>
      <c r="H5">
        <v>3</v>
      </c>
      <c r="I5">
        <v>3</v>
      </c>
      <c r="J5">
        <v>200</v>
      </c>
      <c r="K5">
        <v>0</v>
      </c>
      <c r="L5" t="s">
        <v>9</v>
      </c>
      <c r="M5">
        <f t="shared" si="0"/>
        <v>0</v>
      </c>
      <c r="R5" s="2"/>
    </row>
    <row r="6" spans="1:24" x14ac:dyDescent="0.25">
      <c r="A6" s="2" t="s">
        <v>29</v>
      </c>
      <c r="B6">
        <v>9</v>
      </c>
      <c r="C6" t="s">
        <v>11</v>
      </c>
      <c r="D6" t="s">
        <v>12</v>
      </c>
      <c r="E6">
        <v>0</v>
      </c>
      <c r="F6">
        <v>12</v>
      </c>
      <c r="G6">
        <v>100</v>
      </c>
      <c r="H6">
        <v>3</v>
      </c>
      <c r="I6">
        <v>4</v>
      </c>
      <c r="J6">
        <v>320</v>
      </c>
      <c r="K6">
        <v>0</v>
      </c>
      <c r="L6" t="s">
        <v>9</v>
      </c>
      <c r="M6">
        <f t="shared" si="0"/>
        <v>0</v>
      </c>
      <c r="R6" s="7"/>
    </row>
    <row r="7" spans="1:24" x14ac:dyDescent="0.25">
      <c r="A7" s="2" t="s">
        <v>29</v>
      </c>
      <c r="B7">
        <v>9</v>
      </c>
      <c r="C7" t="s">
        <v>11</v>
      </c>
      <c r="D7" t="s">
        <v>12</v>
      </c>
      <c r="E7">
        <v>0</v>
      </c>
      <c r="F7">
        <v>15</v>
      </c>
      <c r="G7">
        <v>120</v>
      </c>
      <c r="H7">
        <v>3</v>
      </c>
      <c r="I7">
        <v>5</v>
      </c>
      <c r="J7">
        <v>470</v>
      </c>
      <c r="K7">
        <v>0</v>
      </c>
      <c r="L7" t="s">
        <v>10</v>
      </c>
      <c r="M7">
        <f t="shared" si="0"/>
        <v>0</v>
      </c>
      <c r="R7" s="2"/>
    </row>
    <row r="8" spans="1:24" x14ac:dyDescent="0.25">
      <c r="A8" s="2" t="s">
        <v>31</v>
      </c>
      <c r="B8">
        <v>9</v>
      </c>
      <c r="C8" t="s">
        <v>11</v>
      </c>
      <c r="D8" t="s">
        <v>12</v>
      </c>
      <c r="E8">
        <v>0</v>
      </c>
      <c r="F8">
        <v>3</v>
      </c>
      <c r="G8">
        <v>9</v>
      </c>
      <c r="H8">
        <v>3</v>
      </c>
      <c r="I8">
        <v>0</v>
      </c>
      <c r="J8">
        <v>30</v>
      </c>
      <c r="K8">
        <v>0</v>
      </c>
      <c r="L8" t="s">
        <v>30</v>
      </c>
      <c r="M8">
        <f t="shared" si="0"/>
        <v>0</v>
      </c>
      <c r="P8" s="2"/>
      <c r="R8" s="2"/>
    </row>
    <row r="9" spans="1:24" x14ac:dyDescent="0.25">
      <c r="A9" s="2" t="s">
        <v>31</v>
      </c>
      <c r="B9">
        <v>9</v>
      </c>
      <c r="C9" t="s">
        <v>11</v>
      </c>
      <c r="D9" t="s">
        <v>12</v>
      </c>
      <c r="E9">
        <v>1</v>
      </c>
      <c r="F9">
        <v>3</v>
      </c>
      <c r="G9">
        <v>22</v>
      </c>
      <c r="H9">
        <v>3</v>
      </c>
      <c r="I9">
        <v>1</v>
      </c>
      <c r="J9">
        <v>55</v>
      </c>
      <c r="K9">
        <v>0</v>
      </c>
      <c r="L9" t="s">
        <v>9</v>
      </c>
      <c r="M9">
        <f t="shared" si="0"/>
        <v>0</v>
      </c>
      <c r="R9" s="2"/>
    </row>
    <row r="10" spans="1:24" x14ac:dyDescent="0.25">
      <c r="A10" s="2" t="s">
        <v>31</v>
      </c>
      <c r="B10">
        <v>9</v>
      </c>
      <c r="C10" t="s">
        <v>11</v>
      </c>
      <c r="D10" t="s">
        <v>12</v>
      </c>
      <c r="E10">
        <v>1</v>
      </c>
      <c r="F10">
        <v>6</v>
      </c>
      <c r="G10">
        <v>40</v>
      </c>
      <c r="H10">
        <v>3</v>
      </c>
      <c r="I10">
        <v>2</v>
      </c>
      <c r="J10">
        <v>110</v>
      </c>
      <c r="K10">
        <v>0</v>
      </c>
      <c r="L10" t="s">
        <v>9</v>
      </c>
      <c r="M10">
        <f t="shared" si="0"/>
        <v>0</v>
      </c>
      <c r="R10" s="2"/>
    </row>
    <row r="11" spans="1:24" x14ac:dyDescent="0.25">
      <c r="A11" s="2" t="s">
        <v>31</v>
      </c>
      <c r="B11">
        <v>9</v>
      </c>
      <c r="C11" t="s">
        <v>11</v>
      </c>
      <c r="D11" t="s">
        <v>12</v>
      </c>
      <c r="E11">
        <v>0</v>
      </c>
      <c r="F11">
        <v>9</v>
      </c>
      <c r="G11">
        <v>59</v>
      </c>
      <c r="H11">
        <v>3</v>
      </c>
      <c r="I11">
        <v>3</v>
      </c>
      <c r="J11">
        <v>200</v>
      </c>
      <c r="K11">
        <v>0</v>
      </c>
      <c r="L11" t="s">
        <v>9</v>
      </c>
      <c r="M11">
        <f t="shared" si="0"/>
        <v>0</v>
      </c>
      <c r="R11" s="2"/>
    </row>
    <row r="12" spans="1:24" x14ac:dyDescent="0.25">
      <c r="A12" s="2" t="s">
        <v>31</v>
      </c>
      <c r="B12">
        <v>9</v>
      </c>
      <c r="C12" t="s">
        <v>11</v>
      </c>
      <c r="D12" t="s">
        <v>12</v>
      </c>
      <c r="E12">
        <v>0</v>
      </c>
      <c r="F12">
        <v>12</v>
      </c>
      <c r="G12">
        <v>100</v>
      </c>
      <c r="H12">
        <v>3</v>
      </c>
      <c r="I12">
        <v>4</v>
      </c>
      <c r="J12">
        <v>320</v>
      </c>
      <c r="K12">
        <v>0</v>
      </c>
      <c r="L12" t="s">
        <v>9</v>
      </c>
      <c r="M12">
        <f t="shared" si="0"/>
        <v>0</v>
      </c>
      <c r="R12" s="2"/>
    </row>
    <row r="13" spans="1:24" x14ac:dyDescent="0.25">
      <c r="A13" s="2" t="s">
        <v>31</v>
      </c>
      <c r="B13">
        <v>9</v>
      </c>
      <c r="C13" t="s">
        <v>11</v>
      </c>
      <c r="D13" t="s">
        <v>12</v>
      </c>
      <c r="E13">
        <v>0</v>
      </c>
      <c r="F13">
        <v>15</v>
      </c>
      <c r="G13">
        <v>120</v>
      </c>
      <c r="H13">
        <v>3</v>
      </c>
      <c r="I13">
        <v>5</v>
      </c>
      <c r="J13">
        <v>470</v>
      </c>
      <c r="K13">
        <v>0</v>
      </c>
      <c r="L13" t="s">
        <v>10</v>
      </c>
      <c r="M13">
        <f>3-H25</f>
        <v>3</v>
      </c>
      <c r="R13" s="2"/>
    </row>
    <row r="14" spans="1:24" x14ac:dyDescent="0.25">
      <c r="A14" s="2" t="s">
        <v>32</v>
      </c>
      <c r="B14">
        <v>9</v>
      </c>
      <c r="C14" t="s">
        <v>11</v>
      </c>
      <c r="D14" t="s">
        <v>12</v>
      </c>
      <c r="E14">
        <v>0</v>
      </c>
      <c r="F14">
        <v>3</v>
      </c>
      <c r="G14">
        <v>9</v>
      </c>
      <c r="H14">
        <v>3</v>
      </c>
      <c r="I14">
        <v>0</v>
      </c>
      <c r="J14">
        <v>30</v>
      </c>
      <c r="K14">
        <v>0</v>
      </c>
      <c r="L14" t="s">
        <v>30</v>
      </c>
      <c r="M14">
        <f>3-H26</f>
        <v>3</v>
      </c>
      <c r="R14" s="2"/>
    </row>
    <row r="15" spans="1:24" x14ac:dyDescent="0.25">
      <c r="A15" s="2" t="s">
        <v>32</v>
      </c>
      <c r="B15">
        <v>9</v>
      </c>
      <c r="C15" t="s">
        <v>11</v>
      </c>
      <c r="D15" t="s">
        <v>12</v>
      </c>
      <c r="E15">
        <v>1</v>
      </c>
      <c r="F15">
        <v>3</v>
      </c>
      <c r="G15">
        <v>22</v>
      </c>
      <c r="H15">
        <v>3</v>
      </c>
      <c r="I15">
        <v>1</v>
      </c>
      <c r="J15">
        <v>55</v>
      </c>
      <c r="K15">
        <v>0</v>
      </c>
      <c r="L15" t="s">
        <v>9</v>
      </c>
      <c r="M15">
        <f>3-H27</f>
        <v>3</v>
      </c>
      <c r="R15" s="2"/>
    </row>
    <row r="16" spans="1:24" x14ac:dyDescent="0.25">
      <c r="A16" s="2" t="s">
        <v>32</v>
      </c>
      <c r="B16">
        <v>9</v>
      </c>
      <c r="C16" t="s">
        <v>11</v>
      </c>
      <c r="D16" t="s">
        <v>12</v>
      </c>
      <c r="E16">
        <v>1</v>
      </c>
      <c r="F16">
        <v>6</v>
      </c>
      <c r="G16">
        <v>40</v>
      </c>
      <c r="H16">
        <v>3</v>
      </c>
      <c r="I16">
        <v>2</v>
      </c>
      <c r="J16">
        <v>110</v>
      </c>
      <c r="K16">
        <v>0</v>
      </c>
      <c r="L16" t="s">
        <v>9</v>
      </c>
      <c r="M16">
        <f>3-H28</f>
        <v>3</v>
      </c>
      <c r="R16" s="2"/>
    </row>
    <row r="17" spans="1:18" x14ac:dyDescent="0.25">
      <c r="A17" s="2" t="s">
        <v>32</v>
      </c>
      <c r="B17">
        <v>9</v>
      </c>
      <c r="C17" t="s">
        <v>11</v>
      </c>
      <c r="D17" t="s">
        <v>12</v>
      </c>
      <c r="E17">
        <v>0</v>
      </c>
      <c r="F17">
        <v>9</v>
      </c>
      <c r="G17">
        <v>59</v>
      </c>
      <c r="H17">
        <v>3</v>
      </c>
      <c r="I17">
        <v>3</v>
      </c>
      <c r="J17">
        <v>200</v>
      </c>
      <c r="K17">
        <v>0</v>
      </c>
      <c r="L17" t="s">
        <v>9</v>
      </c>
      <c r="M17">
        <f>3-H29</f>
        <v>3</v>
      </c>
      <c r="R17" s="2"/>
    </row>
    <row r="18" spans="1:18" x14ac:dyDescent="0.25">
      <c r="A18" s="2" t="s">
        <v>32</v>
      </c>
      <c r="B18">
        <v>9</v>
      </c>
      <c r="C18" t="s">
        <v>11</v>
      </c>
      <c r="D18" t="s">
        <v>12</v>
      </c>
      <c r="E18">
        <v>0</v>
      </c>
      <c r="F18">
        <v>12</v>
      </c>
      <c r="G18">
        <v>100</v>
      </c>
      <c r="H18">
        <v>3</v>
      </c>
      <c r="I18">
        <v>4</v>
      </c>
      <c r="J18">
        <v>320</v>
      </c>
      <c r="K18">
        <v>0</v>
      </c>
      <c r="L18" t="s">
        <v>9</v>
      </c>
      <c r="M18">
        <f>3-H30</f>
        <v>3</v>
      </c>
      <c r="R18" s="2"/>
    </row>
    <row r="19" spans="1:18" x14ac:dyDescent="0.25">
      <c r="A19" s="2" t="s">
        <v>32</v>
      </c>
      <c r="B19">
        <v>9</v>
      </c>
      <c r="C19" t="s">
        <v>11</v>
      </c>
      <c r="D19" t="s">
        <v>12</v>
      </c>
      <c r="E19">
        <v>0</v>
      </c>
      <c r="F19">
        <v>15</v>
      </c>
      <c r="G19">
        <v>120</v>
      </c>
      <c r="H19">
        <v>3</v>
      </c>
      <c r="I19">
        <v>5</v>
      </c>
      <c r="J19">
        <v>470</v>
      </c>
      <c r="K19">
        <v>0</v>
      </c>
      <c r="L19" t="s">
        <v>10</v>
      </c>
      <c r="M19">
        <f>3-H31</f>
        <v>3</v>
      </c>
      <c r="R19" s="2"/>
    </row>
    <row r="20" spans="1:18" x14ac:dyDescent="0.25">
      <c r="A20" s="2"/>
      <c r="M20">
        <f>3-H32</f>
        <v>3</v>
      </c>
      <c r="R20" s="2"/>
    </row>
    <row r="21" spans="1:18" x14ac:dyDescent="0.25">
      <c r="A21" s="2"/>
      <c r="M21">
        <f>3-H3</f>
        <v>0</v>
      </c>
    </row>
    <row r="22" spans="1:18" x14ac:dyDescent="0.25">
      <c r="A22" s="2"/>
      <c r="M22">
        <f>3-H4</f>
        <v>0</v>
      </c>
    </row>
    <row r="23" spans="1:18" x14ac:dyDescent="0.25">
      <c r="A23" s="2"/>
      <c r="M23">
        <f>3-H5</f>
        <v>0</v>
      </c>
    </row>
    <row r="24" spans="1:18" x14ac:dyDescent="0.25">
      <c r="A24" s="2"/>
      <c r="M24">
        <f>3-H6</f>
        <v>0</v>
      </c>
    </row>
    <row r="25" spans="1:18" x14ac:dyDescent="0.25">
      <c r="A25" s="2"/>
      <c r="M25">
        <f>3-H7</f>
        <v>0</v>
      </c>
    </row>
    <row r="26" spans="1:18" x14ac:dyDescent="0.25">
      <c r="M26">
        <f>3-H8</f>
        <v>0</v>
      </c>
    </row>
    <row r="27" spans="1:18" x14ac:dyDescent="0.25">
      <c r="M27">
        <f>3-H9</f>
        <v>0</v>
      </c>
    </row>
    <row r="28" spans="1:18" x14ac:dyDescent="0.25">
      <c r="M28">
        <f>3-H10</f>
        <v>0</v>
      </c>
    </row>
    <row r="29" spans="1:18" x14ac:dyDescent="0.25">
      <c r="M29">
        <f>3-H11</f>
        <v>0</v>
      </c>
    </row>
    <row r="30" spans="1:18" x14ac:dyDescent="0.25">
      <c r="M30">
        <f>3-H12</f>
        <v>0</v>
      </c>
    </row>
    <row r="31" spans="1:18" x14ac:dyDescent="0.25">
      <c r="M31">
        <f>3-H25</f>
        <v>3</v>
      </c>
    </row>
    <row r="32" spans="1:18" x14ac:dyDescent="0.25">
      <c r="M32">
        <f>3-H26</f>
        <v>3</v>
      </c>
    </row>
    <row r="33" spans="13:13" x14ac:dyDescent="0.25">
      <c r="M33">
        <f>3-H27</f>
        <v>3</v>
      </c>
    </row>
    <row r="34" spans="13:13" x14ac:dyDescent="0.25">
      <c r="M34">
        <f>3-H28</f>
        <v>3</v>
      </c>
    </row>
    <row r="35" spans="13:13" x14ac:dyDescent="0.25">
      <c r="M35">
        <f>3-H29</f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ommandButton22">
          <controlPr defaultSize="0" autoLine="0" r:id="rId5">
            <anchor moveWithCells="1">
              <from>
                <xdr:col>14</xdr:col>
                <xdr:colOff>419100</xdr:colOff>
                <xdr:row>3</xdr:row>
                <xdr:rowOff>123825</xdr:rowOff>
              </from>
              <to>
                <xdr:col>16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3316" r:id="rId4" name="CommandButton22"/>
      </mc:Fallback>
    </mc:AlternateContent>
    <mc:AlternateContent xmlns:mc="http://schemas.openxmlformats.org/markup-compatibility/2006">
      <mc:Choice Requires="x14">
        <control shapeId="13315" r:id="rId6" name="CommandButton21">
          <controlPr defaultSize="0" autoLine="0" r:id="rId7">
            <anchor moveWithCells="1">
              <from>
                <xdr:col>14</xdr:col>
                <xdr:colOff>438150</xdr:colOff>
                <xdr:row>1</xdr:row>
                <xdr:rowOff>0</xdr:rowOff>
              </from>
              <to>
                <xdr:col>16</xdr:col>
                <xdr:colOff>66675</xdr:colOff>
                <xdr:row>2</xdr:row>
                <xdr:rowOff>133350</xdr:rowOff>
              </to>
            </anchor>
          </controlPr>
        </control>
      </mc:Choice>
      <mc:Fallback>
        <control shapeId="13315" r:id="rId6" name="CommandButton2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4"/>
  <dimension ref="C4:F8"/>
  <sheetViews>
    <sheetView workbookViewId="0">
      <selection activeCell="O30" sqref="O30"/>
    </sheetView>
  </sheetViews>
  <sheetFormatPr defaultRowHeight="15" x14ac:dyDescent="0.25"/>
  <sheetData>
    <row r="4" spans="3:6" x14ac:dyDescent="0.25">
      <c r="D4">
        <v>0</v>
      </c>
      <c r="E4">
        <v>1</v>
      </c>
      <c r="F4">
        <v>2</v>
      </c>
    </row>
    <row r="5" spans="3:6" x14ac:dyDescent="0.25">
      <c r="C5" t="s">
        <v>20</v>
      </c>
      <c r="D5">
        <v>100</v>
      </c>
      <c r="E5">
        <v>120</v>
      </c>
      <c r="F5">
        <v>300</v>
      </c>
    </row>
    <row r="6" spans="3:6" x14ac:dyDescent="0.25">
      <c r="C6" t="s">
        <v>21</v>
      </c>
      <c r="D6">
        <v>50</v>
      </c>
      <c r="E6">
        <v>70</v>
      </c>
      <c r="F6">
        <v>120</v>
      </c>
    </row>
    <row r="7" spans="3:6" x14ac:dyDescent="0.25">
      <c r="C7" t="s">
        <v>22</v>
      </c>
      <c r="D7">
        <v>200</v>
      </c>
      <c r="E7">
        <v>210</v>
      </c>
      <c r="F7">
        <v>340</v>
      </c>
    </row>
    <row r="8" spans="3:6" x14ac:dyDescent="0.25">
      <c r="C8" t="s">
        <v>23</v>
      </c>
      <c r="D8">
        <v>150</v>
      </c>
      <c r="E8">
        <v>200</v>
      </c>
      <c r="F8">
        <v>160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C1E9052E-0FB4-45F6-8D67-441259B0E3F7}">
  <ds:schemaRefs/>
</ds:datastoreItem>
</file>

<file path=customXml/itemProps2.xml><?xml version="1.0" encoding="utf-8"?>
<ds:datastoreItem xmlns:ds="http://schemas.openxmlformats.org/officeDocument/2006/customXml" ds:itemID="{F717413A-4AC2-47C7-B7E1-51241E73CED6}">
  <ds:schemaRefs/>
</ds:datastoreItem>
</file>

<file path=customXml/itemProps3.xml><?xml version="1.0" encoding="utf-8"?>
<ds:datastoreItem xmlns:ds="http://schemas.openxmlformats.org/officeDocument/2006/customXml" ds:itemID="{F0AFF6CC-0D72-44FA-BF27-2AFB025D56E1}">
  <ds:schemaRefs/>
</ds:datastoreItem>
</file>

<file path=customXml/itemProps4.xml><?xml version="1.0" encoding="utf-8"?>
<ds:datastoreItem xmlns:ds="http://schemas.openxmlformats.org/officeDocument/2006/customXml" ds:itemID="{B58CB078-5C52-4D58-9BB4-0856213262D9}">
  <ds:schemaRefs/>
</ds:datastoreItem>
</file>

<file path=customXml/itemProps5.xml><?xml version="1.0" encoding="utf-8"?>
<ds:datastoreItem xmlns:ds="http://schemas.openxmlformats.org/officeDocument/2006/customXml" ds:itemID="{43B7FA70-3B71-4162-BA41-5512E2F40C5F}">
  <ds:schemaRefs/>
</ds:datastoreItem>
</file>

<file path=customXml/itemProps6.xml><?xml version="1.0" encoding="utf-8"?>
<ds:datastoreItem xmlns:ds="http://schemas.openxmlformats.org/officeDocument/2006/customXml" ds:itemID="{F47FC4FB-8A6B-42FB-98F5-9653B2733DCC}">
  <ds:schemaRefs/>
</ds:datastoreItem>
</file>

<file path=customXml/itemProps7.xml><?xml version="1.0" encoding="utf-8"?>
<ds:datastoreItem xmlns:ds="http://schemas.openxmlformats.org/officeDocument/2006/customXml" ds:itemID="{F0F84C10-A9A6-4FF4-853A-395DE806B8F5}">
  <ds:schemaRefs/>
</ds:datastoreItem>
</file>

<file path=customXml/itemProps8.xml><?xml version="1.0" encoding="utf-8"?>
<ds:datastoreItem xmlns:ds="http://schemas.openxmlformats.org/officeDocument/2006/customXml" ds:itemID="{2AB29B8B-F41B-40DE-84CD-E0BB07F54064}">
  <ds:schemaRefs/>
</ds:datastoreItem>
</file>

<file path=customXml/itemProps9.xml><?xml version="1.0" encoding="utf-8"?>
<ds:datastoreItem xmlns:ds="http://schemas.openxmlformats.org/officeDocument/2006/customXml" ds:itemID="{10F1378E-8D08-4F77-BEF3-95D5AC945FA0}">
  <ds:schemaRefs/>
</ds:datastoreItem>
</file>

<file path=customXml/itemProps10.xml><?xml version="1.0" encoding="utf-8"?>
<ds:datastoreItem xmlns:ds="http://schemas.openxmlformats.org/officeDocument/2006/customXml" ds:itemID="{5111F44B-BB14-4AEA-AD3B-7FE047E80C99}">
  <ds:schemaRefs/>
</ds:datastoreItem>
</file>

<file path=customXml/itemProps11.xml><?xml version="1.0" encoding="utf-8"?>
<ds:datastoreItem xmlns:ds="http://schemas.openxmlformats.org/officeDocument/2006/customXml" ds:itemID="{542C8FC4-8936-4065-AB6B-B0C0826EA437}">
  <ds:schemaRefs/>
</ds:datastoreItem>
</file>

<file path=customXml/itemProps12.xml><?xml version="1.0" encoding="utf-8"?>
<ds:datastoreItem xmlns:ds="http://schemas.openxmlformats.org/officeDocument/2006/customXml" ds:itemID="{895CCD80-04F9-4E30-8463-F251CE91C2C5}">
  <ds:schemaRefs/>
</ds:datastoreItem>
</file>

<file path=customXml/itemProps13.xml><?xml version="1.0" encoding="utf-8"?>
<ds:datastoreItem xmlns:ds="http://schemas.openxmlformats.org/officeDocument/2006/customXml" ds:itemID="{8F9DD7D7-7590-42E3-A9B2-9EF97074BB30}">
  <ds:schemaRefs/>
</ds:datastoreItem>
</file>

<file path=customXml/itemProps14.xml><?xml version="1.0" encoding="utf-8"?>
<ds:datastoreItem xmlns:ds="http://schemas.openxmlformats.org/officeDocument/2006/customXml" ds:itemID="{BA0B0127-A384-4491-9AFF-7BBC508C08E9}">
  <ds:schemaRefs/>
</ds:datastoreItem>
</file>

<file path=customXml/itemProps15.xml><?xml version="1.0" encoding="utf-8"?>
<ds:datastoreItem xmlns:ds="http://schemas.openxmlformats.org/officeDocument/2006/customXml" ds:itemID="{80C9176F-60C0-4675-97CC-E008100B3BC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10</vt:i4>
      </vt:variant>
      <vt:variant>
        <vt:lpstr>Intervalos com nome</vt:lpstr>
      </vt:variant>
      <vt:variant>
        <vt:i4>1</vt:i4>
      </vt:variant>
    </vt:vector>
  </HeadingPairs>
  <TitlesOfParts>
    <vt:vector size="11" baseType="lpstr">
      <vt:lpstr>Folha7</vt:lpstr>
      <vt:lpstr>Folha6</vt:lpstr>
      <vt:lpstr>Folha5</vt:lpstr>
      <vt:lpstr>Folha4</vt:lpstr>
      <vt:lpstr>Folha3</vt:lpstr>
      <vt:lpstr>Folha2</vt:lpstr>
      <vt:lpstr>Folha8</vt:lpstr>
      <vt:lpstr>Folha11</vt:lpstr>
      <vt:lpstr>Folha1</vt:lpstr>
      <vt:lpstr>Folha14</vt:lpstr>
      <vt:lpstr>Folha1!Data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</dc:creator>
  <cp:lastModifiedBy>Ana</cp:lastModifiedBy>
  <dcterms:created xsi:type="dcterms:W3CDTF">2015-01-12T12:02:21Z</dcterms:created>
  <dcterms:modified xsi:type="dcterms:W3CDTF">2015-01-15T17:09:02Z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