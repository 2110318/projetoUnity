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pivotCache/pivotCacheDefinition6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8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9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0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slicers/slicer3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slicers/slicer4.xml" ContentType="application/vnd.ms-excel.slicer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defaultThemeVersion="153222"/>
  <mc:AlternateContent xmlns:mc="http://schemas.openxmlformats.org/markup-compatibility/2006">
    <mc:Choice Requires="x15">
      <x15ac:absPath xmlns:x15ac="http://schemas.microsoft.com/office/spreadsheetml/2010/11/ac" url="C:\Users\Paula\Documents\Modelos Personalizados do Office\"/>
    </mc:Choice>
  </mc:AlternateContent>
  <bookViews>
    <workbookView xWindow="0" yWindow="0" windowWidth="23040" windowHeight="9408" firstSheet="6" activeTab="13"/>
  </bookViews>
  <sheets>
    <sheet name="Folha7" sheetId="7" r:id="rId1"/>
    <sheet name="Folha6" sheetId="6" r:id="rId2"/>
    <sheet name="Folha5" sheetId="5" r:id="rId3"/>
    <sheet name="Folha4" sheetId="4" r:id="rId4"/>
    <sheet name="Folha3" sheetId="3" r:id="rId5"/>
    <sheet name="Folha2" sheetId="2" r:id="rId6"/>
    <sheet name="Folha8" sheetId="10" r:id="rId7"/>
    <sheet name="Folha9" sheetId="11" r:id="rId8"/>
    <sheet name="Folha10" sheetId="12" r:id="rId9"/>
    <sheet name="Folha12" sheetId="14" r:id="rId10"/>
    <sheet name="Folha11" sheetId="15" r:id="rId11"/>
    <sheet name="Folha15" sheetId="18" r:id="rId12"/>
    <sheet name="Folha13" sheetId="19" r:id="rId13"/>
    <sheet name="Folha1" sheetId="1" r:id="rId14"/>
    <sheet name="Folha14" sheetId="17" r:id="rId15"/>
  </sheets>
  <definedNames>
    <definedName name="_xlcn.WorksheetConnection_Folha1A1M191" hidden="1">Folha1!$A$1:$M$19</definedName>
    <definedName name="_xlcn.WorksheetConnection_Folha1A1N191" hidden="1">Folha1!$A$1:$N$19</definedName>
    <definedName name="Data" localSheetId="13">Folha1!$A$2:$L$19</definedName>
    <definedName name="SegmentaçãoDeDados_Jogador">#N/A</definedName>
    <definedName name="SegmentaçãoDeDados_Jogador1">#N/A</definedName>
    <definedName name="SegmentaçãoDeDados_Jogador2">#N/A</definedName>
    <definedName name="SegmentaçãoDeDados_Jogador3">#N/A</definedName>
  </definedNames>
  <calcPr calcId="152511"/>
  <pivotCaches>
    <pivotCache cacheId="0" r:id="rId16"/>
    <pivotCache cacheId="1" r:id="rId17"/>
    <pivotCache cacheId="2" r:id="rId18"/>
    <pivotCache cacheId="7" r:id="rId19"/>
  </pivotCaches>
  <extLst>
    <ext xmlns:x14="http://schemas.microsoft.com/office/spreadsheetml/2009/9/main" uri="{876F7934-8845-4945-9796-88D515C7AA90}">
      <x14:pivotCaches>
        <pivotCache cacheId="3" r:id="rId20"/>
      </x14:pivotCaches>
    </ex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25" r:id="rId25"/>
      </x15:pivotCaches>
    </ext>
    <ext xmlns:x15="http://schemas.microsoft.com/office/spreadsheetml/2010/11/main" uri="{983426D0-5260-488c-9760-48F4B6AC55F4}">
      <x15:pivotTableReferences>
        <x15:pivotTableReference r:id="rId26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1-37180abd-c023-45dd-ae2a-df1ecb57f0bc" name="Intervalo1" connection="WorksheetConnection_Folha1!$A$1:$N$19"/>
          <x15:modelTable id="Intervalo-d0f20271-55fd-42ca-a11f-2bc5f9481903" name="Intervalo" connection="WorksheetConnection_Folha1!$A$1:$M$19"/>
        </x15:modelTables>
      </x15:dataModel>
    </ext>
  </extLst>
</workbook>
</file>

<file path=xl/calcChain.xml><?xml version="1.0" encoding="utf-8"?>
<calcChain xmlns="http://schemas.openxmlformats.org/spreadsheetml/2006/main">
  <c r="M22" i="1" l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" i="1"/>
</calcChain>
</file>

<file path=xl/connections.xml><?xml version="1.0" encoding="utf-8"?>
<connections xmlns="http://schemas.openxmlformats.org/spreadsheetml/2006/main">
  <connection id="1" name="Data" type="6" refreshedVersion="5" background="1" saveData="1">
    <textPr codePage="850" sourceFile="C:\Users\Paula\Desktop\projetoUnity\Assets\Data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keepAlive="1" name="ThisWorkbookDataModel" description="Modelo de Dad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WorksheetConnection_Folha1!$A$1:$M$19" type="102" refreshedVersion="5" minRefreshableVersion="5">
    <extLst>
      <ext xmlns:x15="http://schemas.microsoft.com/office/spreadsheetml/2010/11/main" uri="{DE250136-89BD-433C-8126-D09CA5730AF9}">
        <x15:connection id="Intervalo-d0f20271-55fd-42ca-a11f-2bc5f9481903" autoDelete="1" usedByAddin="1">
          <x15:rangePr sourceName="_xlcn.WorksheetConnection_Folha1A1M191"/>
        </x15:connection>
      </ext>
    </extLst>
  </connection>
  <connection id="4" name="WorksheetConnection_Folha1!$A$1:$N$19" type="102" refreshedVersion="5" minRefreshableVersion="5">
    <extLst>
      <ext xmlns:x15="http://schemas.microsoft.com/office/spreadsheetml/2010/11/main" uri="{DE250136-89BD-433C-8126-D09CA5730AF9}">
        <x15:connection id="Intervalo1-37180abd-c023-45dd-ae2a-df1ecb57f0bc" autoDelete="1">
          <x15:rangePr sourceName="_xlcn.WorksheetConnection_Folha1A1N191"/>
        </x15:connection>
      </ext>
    </extLst>
  </connection>
</connections>
</file>

<file path=xl/sharedStrings.xml><?xml version="1.0" encoding="utf-8"?>
<sst xmlns="http://schemas.openxmlformats.org/spreadsheetml/2006/main" count="123" uniqueCount="40">
  <si>
    <t>Jogador</t>
  </si>
  <si>
    <t>idd</t>
  </si>
  <si>
    <t>sexo</t>
  </si>
  <si>
    <t>escolaridade</t>
  </si>
  <si>
    <t>maus</t>
  </si>
  <si>
    <t>bons</t>
  </si>
  <si>
    <t>tempo</t>
  </si>
  <si>
    <t>vida</t>
  </si>
  <si>
    <t>nivel</t>
  </si>
  <si>
    <t>pontos</t>
  </si>
  <si>
    <t>insist</t>
  </si>
  <si>
    <t>final</t>
  </si>
  <si>
    <t>vidasGastas</t>
  </si>
  <si>
    <t xml:space="preserve"> Feminino</t>
  </si>
  <si>
    <t xml:space="preserve"> Terceiro Ano</t>
  </si>
  <si>
    <t xml:space="preserve"> Nao</t>
  </si>
  <si>
    <t xml:space="preserve"> Sim</t>
  </si>
  <si>
    <t xml:space="preserve"> Masculino</t>
  </si>
  <si>
    <t xml:space="preserve"> Pre-Primaria</t>
  </si>
  <si>
    <t xml:space="preserve"> Quarto Ano</t>
  </si>
  <si>
    <t>Soma de insist</t>
  </si>
  <si>
    <t>Rótulos de Linha</t>
  </si>
  <si>
    <t>Total Geral</t>
  </si>
  <si>
    <t>Soma de vidasGastas</t>
  </si>
  <si>
    <t>Soma de bons</t>
  </si>
  <si>
    <t>Soma de maus</t>
  </si>
  <si>
    <t>Rótulos de Coluna</t>
  </si>
  <si>
    <t>Soma de pontos</t>
  </si>
  <si>
    <t>Soma de media</t>
  </si>
  <si>
    <t>Ana</t>
  </si>
  <si>
    <t>Rui</t>
  </si>
  <si>
    <t>Paula</t>
  </si>
  <si>
    <t>Media</t>
  </si>
  <si>
    <t>Média</t>
  </si>
  <si>
    <t>Soma de 5</t>
  </si>
  <si>
    <t>Soma de 0</t>
  </si>
  <si>
    <t>Soma de 1</t>
  </si>
  <si>
    <t>Soma de 2</t>
  </si>
  <si>
    <t>Soma de 3</t>
  </si>
  <si>
    <t>Soma de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</si>
</sst>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 indent="1"/>
    </xf>
    <xf numFmtId="22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openxmlformats.org/officeDocument/2006/relationships/pivotTable" Target="pivotTables/pivotTable1.xml"/><Relationship Id="rId39" Type="http://schemas.openxmlformats.org/officeDocument/2006/relationships/customXml" Target="../customXml/item7.xml"/><Relationship Id="rId21" Type="http://schemas.microsoft.com/office/2007/relationships/slicerCache" Target="slicerCaches/slicerCache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openxmlformats.org/officeDocument/2006/relationships/powerPivotData" Target="model/item.data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openxmlformats.org/officeDocument/2006/relationships/pivotCacheDefinition" Target="pivotCache/pivotCacheDefinition6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pivotCacheDefinition" Target="pivotCache/pivotCacheDefinition5.xml"/><Relationship Id="rId41" Type="http://schemas.openxmlformats.org/officeDocument/2006/relationships/customXml" Target="../customXml/item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[exelFinalMacro1.xltm]Folha7!Tabela dinâmica6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0744356955380575E-2"/>
          <c:y val="0.24830901137357828"/>
          <c:w val="0.74520188976377955"/>
          <c:h val="0.55623412073490819"/>
        </c:manualLayout>
      </c:layout>
      <c:lineChart>
        <c:grouping val="standard"/>
        <c:varyColors val="0"/>
        <c:ser>
          <c:idx val="0"/>
          <c:order val="0"/>
          <c:tx>
            <c:strRef>
              <c:f>Folha7!$B$3:$B$4</c:f>
              <c:strCache>
                <c:ptCount val="1"/>
                <c:pt idx="0">
                  <c:v>01/12/2015 11:48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Folha7!$A$5:$A$11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Folha7!$B$5:$B$11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13673344"/>
        <c:axId val="-113668448"/>
      </c:lineChart>
      <c:catAx>
        <c:axId val="-11367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13668448"/>
        <c:crosses val="autoZero"/>
        <c:auto val="1"/>
        <c:lblAlgn val="ctr"/>
        <c:lblOffset val="100"/>
        <c:noMultiLvlLbl val="0"/>
      </c:catAx>
      <c:valAx>
        <c:axId val="-11366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1367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[exelFinalMacro1.xltm]Folha6!Tabela dinâmica5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0" i="0" u="none" strike="noStrike" baseline="0">
                <a:effectLst/>
              </a:rPr>
              <a:t>Itens Bons/Maus por Idade</a:t>
            </a:r>
            <a:endParaRPr lang="pt-PT"/>
          </a:p>
        </c:rich>
      </c:tx>
      <c:layout>
        <c:manualLayout>
          <c:xMode val="edge"/>
          <c:yMode val="edge"/>
          <c:x val="0.35767344706911636"/>
          <c:y val="0.119349664625255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Folha6!$B$1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Folha6!$A$2:$A$5</c:f>
              <c:strCache>
                <c:ptCount val="3"/>
                <c:pt idx="0">
                  <c:v>6</c:v>
                </c:pt>
                <c:pt idx="1">
                  <c:v>8</c:v>
                </c:pt>
                <c:pt idx="2">
                  <c:v>9</c:v>
                </c:pt>
              </c:strCache>
            </c:strRef>
          </c:cat>
          <c:val>
            <c:numRef>
              <c:f>Folha6!$B$2:$B$5</c:f>
              <c:numCache>
                <c:formatCode>General</c:formatCode>
                <c:ptCount val="3"/>
                <c:pt idx="0">
                  <c:v>1</c:v>
                </c:pt>
                <c:pt idx="1">
                  <c:v>6</c:v>
                </c:pt>
                <c:pt idx="2">
                  <c:v>2</c:v>
                </c:pt>
              </c:numCache>
            </c:numRef>
          </c:val>
        </c:ser>
        <c:ser>
          <c:idx val="1"/>
          <c:order val="1"/>
          <c:tx>
            <c:strRef>
              <c:f>Folha6!$C$1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Folha6!$A$2:$A$5</c:f>
              <c:strCache>
                <c:ptCount val="3"/>
                <c:pt idx="0">
                  <c:v>6</c:v>
                </c:pt>
                <c:pt idx="1">
                  <c:v>8</c:v>
                </c:pt>
                <c:pt idx="2">
                  <c:v>9</c:v>
                </c:pt>
              </c:strCache>
            </c:strRef>
          </c:cat>
          <c:val>
            <c:numRef>
              <c:f>Folha6!$C$2:$C$5</c:f>
              <c:numCache>
                <c:formatCode>General</c:formatCode>
                <c:ptCount val="3"/>
                <c:pt idx="0">
                  <c:v>48</c:v>
                </c:pt>
                <c:pt idx="1">
                  <c:v>48</c:v>
                </c:pt>
                <c:pt idx="2">
                  <c:v>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13664096"/>
        <c:axId val="-113658112"/>
      </c:barChart>
      <c:catAx>
        <c:axId val="-11366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13658112"/>
        <c:crosses val="autoZero"/>
        <c:auto val="1"/>
        <c:lblAlgn val="ctr"/>
        <c:lblOffset val="100"/>
        <c:noMultiLvlLbl val="0"/>
      </c:catAx>
      <c:valAx>
        <c:axId val="-1136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1366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[exelFinalMacro1.xltm]Folha5!Tabela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Itens Bons/Maus</a:t>
            </a:r>
            <a:r>
              <a:rPr lang="pt-PT" baseline="0"/>
              <a:t> por Sexo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Folha5!$B$1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Folha5!$A$2:$A$4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Folha5!$B$2:$B$4</c:f>
              <c:numCache>
                <c:formatCode>General</c:formatCode>
                <c:ptCount val="2"/>
                <c:pt idx="0">
                  <c:v>6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Folha5!$C$1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Folha5!$A$2:$A$4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Folha5!$C$2:$C$4</c:f>
              <c:numCache>
                <c:formatCode>General</c:formatCode>
                <c:ptCount val="2"/>
                <c:pt idx="0">
                  <c:v>48</c:v>
                </c:pt>
                <c:pt idx="1">
                  <c:v>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13665728"/>
        <c:axId val="-113661920"/>
      </c:barChart>
      <c:catAx>
        <c:axId val="-11366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13661920"/>
        <c:crosses val="autoZero"/>
        <c:auto val="1"/>
        <c:lblAlgn val="ctr"/>
        <c:lblOffset val="100"/>
        <c:noMultiLvlLbl val="0"/>
      </c:catAx>
      <c:valAx>
        <c:axId val="-11366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  <a:r>
                  <a:rPr lang="pt-PT" baseline="0"/>
                  <a:t> </a:t>
                </a:r>
                <a:endParaRPr lang="pt-P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1366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[exelFinalMacro1.xltm]Folha4!Tabela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Itens</a:t>
            </a:r>
            <a:r>
              <a:rPr lang="pt-PT" baseline="0"/>
              <a:t> Bons/Maus por Nível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Folha4!$B$3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Folha4!$A$4:$A$28</c:f>
              <c:multiLvlStrCache>
                <c:ptCount val="18"/>
                <c:lvl>
                  <c:pt idx="0">
                    <c:v>01/12/2015 11:32</c:v>
                  </c:pt>
                  <c:pt idx="1">
                    <c:v>01/12/2015 11:41</c:v>
                  </c:pt>
                  <c:pt idx="2">
                    <c:v>01/12/2015 11:48</c:v>
                  </c:pt>
                  <c:pt idx="3">
                    <c:v>01/12/2015 11:32</c:v>
                  </c:pt>
                  <c:pt idx="4">
                    <c:v>01/12/2015 11:41</c:v>
                  </c:pt>
                  <c:pt idx="5">
                    <c:v>01/12/2015 11:48</c:v>
                  </c:pt>
                  <c:pt idx="6">
                    <c:v>01/12/2015 11:32</c:v>
                  </c:pt>
                  <c:pt idx="7">
                    <c:v>01/12/2015 11:41</c:v>
                  </c:pt>
                  <c:pt idx="8">
                    <c:v>01/12/2015 11:48</c:v>
                  </c:pt>
                  <c:pt idx="9">
                    <c:v>01/12/2015 11:32</c:v>
                  </c:pt>
                  <c:pt idx="10">
                    <c:v>01/12/2015 11:41</c:v>
                  </c:pt>
                  <c:pt idx="11">
                    <c:v>01/12/2015 11:48</c:v>
                  </c:pt>
                  <c:pt idx="12">
                    <c:v>01/12/2015 11:32</c:v>
                  </c:pt>
                  <c:pt idx="13">
                    <c:v>01/12/2015 11:41</c:v>
                  </c:pt>
                  <c:pt idx="14">
                    <c:v>01/12/2015 11:48</c:v>
                  </c:pt>
                  <c:pt idx="15">
                    <c:v>01/12/2015 11:32</c:v>
                  </c:pt>
                  <c:pt idx="16">
                    <c:v>01/12/2015 11:41</c:v>
                  </c:pt>
                  <c:pt idx="17">
                    <c:v>01/12/2015 11:48</c:v>
                  </c:pt>
                </c:lvl>
                <c:lvl>
                  <c:pt idx="0">
                    <c:v>0</c:v>
                  </c:pt>
                  <c:pt idx="3">
                    <c:v>1</c:v>
                  </c:pt>
                  <c:pt idx="6">
                    <c:v>2</c:v>
                  </c:pt>
                  <c:pt idx="9">
                    <c:v>3</c:v>
                  </c:pt>
                  <c:pt idx="12">
                    <c:v>4</c:v>
                  </c:pt>
                  <c:pt idx="15">
                    <c:v>5</c:v>
                  </c:pt>
                </c:lvl>
              </c:multiLvlStrCache>
            </c:multiLvlStrRef>
          </c:cat>
          <c:val>
            <c:numRef>
              <c:f>Folha4!$B$4:$B$28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Folha4!$C$3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Folha4!$A$4:$A$28</c:f>
              <c:multiLvlStrCache>
                <c:ptCount val="18"/>
                <c:lvl>
                  <c:pt idx="0">
                    <c:v>01/12/2015 11:32</c:v>
                  </c:pt>
                  <c:pt idx="1">
                    <c:v>01/12/2015 11:41</c:v>
                  </c:pt>
                  <c:pt idx="2">
                    <c:v>01/12/2015 11:48</c:v>
                  </c:pt>
                  <c:pt idx="3">
                    <c:v>01/12/2015 11:32</c:v>
                  </c:pt>
                  <c:pt idx="4">
                    <c:v>01/12/2015 11:41</c:v>
                  </c:pt>
                  <c:pt idx="5">
                    <c:v>01/12/2015 11:48</c:v>
                  </c:pt>
                  <c:pt idx="6">
                    <c:v>01/12/2015 11:32</c:v>
                  </c:pt>
                  <c:pt idx="7">
                    <c:v>01/12/2015 11:41</c:v>
                  </c:pt>
                  <c:pt idx="8">
                    <c:v>01/12/2015 11:48</c:v>
                  </c:pt>
                  <c:pt idx="9">
                    <c:v>01/12/2015 11:32</c:v>
                  </c:pt>
                  <c:pt idx="10">
                    <c:v>01/12/2015 11:41</c:v>
                  </c:pt>
                  <c:pt idx="11">
                    <c:v>01/12/2015 11:48</c:v>
                  </c:pt>
                  <c:pt idx="12">
                    <c:v>01/12/2015 11:32</c:v>
                  </c:pt>
                  <c:pt idx="13">
                    <c:v>01/12/2015 11:41</c:v>
                  </c:pt>
                  <c:pt idx="14">
                    <c:v>01/12/2015 11:48</c:v>
                  </c:pt>
                  <c:pt idx="15">
                    <c:v>01/12/2015 11:32</c:v>
                  </c:pt>
                  <c:pt idx="16">
                    <c:v>01/12/2015 11:41</c:v>
                  </c:pt>
                  <c:pt idx="17">
                    <c:v>01/12/2015 11:48</c:v>
                  </c:pt>
                </c:lvl>
                <c:lvl>
                  <c:pt idx="0">
                    <c:v>0</c:v>
                  </c:pt>
                  <c:pt idx="3">
                    <c:v>1</c:v>
                  </c:pt>
                  <c:pt idx="6">
                    <c:v>2</c:v>
                  </c:pt>
                  <c:pt idx="9">
                    <c:v>3</c:v>
                  </c:pt>
                  <c:pt idx="12">
                    <c:v>4</c:v>
                  </c:pt>
                  <c:pt idx="15">
                    <c:v>5</c:v>
                  </c:pt>
                </c:lvl>
              </c:multiLvlStrCache>
            </c:multiLvlStrRef>
          </c:cat>
          <c:val>
            <c:numRef>
              <c:f>Folha4!$C$4:$C$28</c:f>
              <c:numCache>
                <c:formatCode>General</c:formatCode>
                <c:ptCount val="1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13669536"/>
        <c:axId val="-113665184"/>
      </c:barChart>
      <c:catAx>
        <c:axId val="-113669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Nível/</a:t>
                </a:r>
                <a:r>
                  <a:rPr lang="pt-PT" baseline="0"/>
                  <a:t> Jogador</a:t>
                </a:r>
                <a:endParaRPr lang="pt-P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13665184"/>
        <c:crosses val="autoZero"/>
        <c:auto val="1"/>
        <c:lblAlgn val="ctr"/>
        <c:lblOffset val="100"/>
        <c:noMultiLvlLbl val="0"/>
      </c:catAx>
      <c:valAx>
        <c:axId val="-11366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Quantidade</a:t>
                </a:r>
                <a:r>
                  <a:rPr lang="en-US" baseline="0"/>
                  <a:t> de itens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1366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[exelFinalMacro1.xltm]Folha3!Tabela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Vidas Gastas Por Jogador a Cada Nível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Folha3!$B$3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Folha3!$A$4:$A$28</c:f>
              <c:multiLvlStrCache>
                <c:ptCount val="18"/>
                <c:lvl>
                  <c:pt idx="0">
                    <c:v>01/12/2015 11:32</c:v>
                  </c:pt>
                  <c:pt idx="1">
                    <c:v>01/12/2015 11:41</c:v>
                  </c:pt>
                  <c:pt idx="2">
                    <c:v>01/12/2015 11:48</c:v>
                  </c:pt>
                  <c:pt idx="3">
                    <c:v>01/12/2015 11:32</c:v>
                  </c:pt>
                  <c:pt idx="4">
                    <c:v>01/12/2015 11:41</c:v>
                  </c:pt>
                  <c:pt idx="5">
                    <c:v>01/12/2015 11:48</c:v>
                  </c:pt>
                  <c:pt idx="6">
                    <c:v>01/12/2015 11:32</c:v>
                  </c:pt>
                  <c:pt idx="7">
                    <c:v>01/12/2015 11:41</c:v>
                  </c:pt>
                  <c:pt idx="8">
                    <c:v>01/12/2015 11:48</c:v>
                  </c:pt>
                  <c:pt idx="9">
                    <c:v>01/12/2015 11:32</c:v>
                  </c:pt>
                  <c:pt idx="10">
                    <c:v>01/12/2015 11:41</c:v>
                  </c:pt>
                  <c:pt idx="11">
                    <c:v>01/12/2015 11:48</c:v>
                  </c:pt>
                  <c:pt idx="12">
                    <c:v>01/12/2015 11:32</c:v>
                  </c:pt>
                  <c:pt idx="13">
                    <c:v>01/12/2015 11:41</c:v>
                  </c:pt>
                  <c:pt idx="14">
                    <c:v>01/12/2015 11:48</c:v>
                  </c:pt>
                  <c:pt idx="15">
                    <c:v>01/12/2015 11:32</c:v>
                  </c:pt>
                  <c:pt idx="16">
                    <c:v>01/12/2015 11:41</c:v>
                  </c:pt>
                  <c:pt idx="17">
                    <c:v>01/12/2015 11:48</c:v>
                  </c:pt>
                </c:lvl>
                <c:lvl>
                  <c:pt idx="0">
                    <c:v>0</c:v>
                  </c:pt>
                  <c:pt idx="3">
                    <c:v>1</c:v>
                  </c:pt>
                  <c:pt idx="6">
                    <c:v>2</c:v>
                  </c:pt>
                  <c:pt idx="9">
                    <c:v>3</c:v>
                  </c:pt>
                  <c:pt idx="12">
                    <c:v>4</c:v>
                  </c:pt>
                  <c:pt idx="15">
                    <c:v>5</c:v>
                  </c:pt>
                </c:lvl>
              </c:multiLvlStrCache>
            </c:multiLvlStrRef>
          </c:cat>
          <c:val>
            <c:numRef>
              <c:f>Folha3!$B$4:$B$28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13662464"/>
        <c:axId val="-113670080"/>
      </c:barChart>
      <c:catAx>
        <c:axId val="-113662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Vidas</a:t>
                </a:r>
                <a:r>
                  <a:rPr lang="pt-PT" baseline="0"/>
                  <a:t>/Jogador</a:t>
                </a:r>
                <a:endParaRPr lang="pt-PT"/>
              </a:p>
            </c:rich>
          </c:tx>
          <c:layout>
            <c:manualLayout>
              <c:xMode val="edge"/>
              <c:yMode val="edge"/>
              <c:x val="0.45445542062255295"/>
              <c:y val="0.898746728939061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13670080"/>
        <c:crosses val="autoZero"/>
        <c:auto val="1"/>
        <c:lblAlgn val="ctr"/>
        <c:lblOffset val="100"/>
        <c:noMultiLvlLbl val="0"/>
      </c:catAx>
      <c:valAx>
        <c:axId val="-11367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1366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[exelFinalMacro1.xltm]Folha2!Tabela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Insistências</a:t>
            </a:r>
            <a:r>
              <a:rPr lang="en-US" u="sng" baseline="0"/>
              <a:t> por Idade</a:t>
            </a:r>
            <a:endParaRPr lang="en-US" u="sng"/>
          </a:p>
        </c:rich>
      </c:tx>
      <c:layout>
        <c:manualLayout>
          <c:xMode val="edge"/>
          <c:yMode val="edge"/>
          <c:x val="0.35403017605255482"/>
          <c:y val="5.4738990959463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Folha2!$B$3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Folha2!$A$4:$A$7</c:f>
              <c:strCache>
                <c:ptCount val="3"/>
                <c:pt idx="0">
                  <c:v>6</c:v>
                </c:pt>
                <c:pt idx="1">
                  <c:v>8</c:v>
                </c:pt>
                <c:pt idx="2">
                  <c:v>9</c:v>
                </c:pt>
              </c:strCache>
            </c:strRef>
          </c:cat>
          <c:val>
            <c:numRef>
              <c:f>Folha2!$B$4:$B$7</c:f>
              <c:numCache>
                <c:formatCode>General</c:formatCode>
                <c:ptCount val="3"/>
                <c:pt idx="0">
                  <c:v>5</c:v>
                </c:pt>
                <c:pt idx="1">
                  <c:v>14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3671168"/>
        <c:axId val="-113668992"/>
      </c:lineChart>
      <c:catAx>
        <c:axId val="-113671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13668992"/>
        <c:crosses val="autoZero"/>
        <c:auto val="1"/>
        <c:lblAlgn val="ctr"/>
        <c:lblOffset val="100"/>
        <c:noMultiLvlLbl val="0"/>
      </c:catAx>
      <c:valAx>
        <c:axId val="-11366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Insistências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4682447506561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1367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[exelFinalMacro1.xltm]Folha8!Tabela dinâmica1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Folha8!$B$1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Folha8!$A$2:$A$14</c:f>
              <c:multiLvlStrCache>
                <c:ptCount val="6"/>
                <c:lvl>
                  <c:pt idx="0">
                    <c:v>01/12/2015 11:48</c:v>
                  </c:pt>
                  <c:pt idx="1">
                    <c:v>01/12/2015 11:48</c:v>
                  </c:pt>
                  <c:pt idx="2">
                    <c:v>01/12/2015 11:48</c:v>
                  </c:pt>
                  <c:pt idx="3">
                    <c:v>01/12/2015 11:48</c:v>
                  </c:pt>
                  <c:pt idx="4">
                    <c:v>01/12/2015 11:48</c:v>
                  </c:pt>
                  <c:pt idx="5">
                    <c:v>01/12/2015 11:48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</c:lvl>
              </c:multiLvlStrCache>
            </c:multiLvlStrRef>
          </c:cat>
          <c:val>
            <c:numRef>
              <c:f>Folha8!$B$2:$B$14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9228352"/>
        <c:axId val="-109235968"/>
      </c:lineChart>
      <c:catAx>
        <c:axId val="-10922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09235968"/>
        <c:crosses val="autoZero"/>
        <c:auto val="1"/>
        <c:lblAlgn val="ctr"/>
        <c:lblOffset val="100"/>
        <c:noMultiLvlLbl val="0"/>
      </c:catAx>
      <c:valAx>
        <c:axId val="-10923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0922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[exelFinalMacro1.xltm]Folha9!Tabela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8473353874243983E-2"/>
          <c:y val="0.2092619778459896"/>
          <c:w val="0.71696012781011065"/>
          <c:h val="0.722194640924121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Folha9!$B$1</c:f>
              <c:strCache>
                <c:ptCount val="1"/>
                <c:pt idx="0">
                  <c:v>Soma de media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Folha9!$A$2:$A$8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Folha9!$B$2:$B$8</c:f>
              <c:numCache>
                <c:formatCode>General</c:formatCode>
                <c:ptCount val="6"/>
                <c:pt idx="0">
                  <c:v>196.11111111111111</c:v>
                </c:pt>
                <c:pt idx="1">
                  <c:v>196.11111111111111</c:v>
                </c:pt>
                <c:pt idx="2">
                  <c:v>196.11111111111111</c:v>
                </c:pt>
                <c:pt idx="3">
                  <c:v>196.11111111111111</c:v>
                </c:pt>
                <c:pt idx="4">
                  <c:v>196.11111111111111</c:v>
                </c:pt>
                <c:pt idx="5">
                  <c:v>196.11111111111111</c:v>
                </c:pt>
              </c:numCache>
            </c:numRef>
          </c:val>
        </c:ser>
        <c:ser>
          <c:idx val="1"/>
          <c:order val="1"/>
          <c:tx>
            <c:strRef>
              <c:f>Folha9!$C$1</c:f>
              <c:strCache>
                <c:ptCount val="1"/>
                <c:pt idx="0">
                  <c:v>Soma de pontos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Folha9!$A$2:$A$8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Folha9!$C$2:$C$8</c:f>
              <c:numCache>
                <c:formatCode>General</c:formatCode>
                <c:ptCount val="6"/>
                <c:pt idx="0">
                  <c:v>25</c:v>
                </c:pt>
                <c:pt idx="1">
                  <c:v>50</c:v>
                </c:pt>
                <c:pt idx="2">
                  <c:v>110</c:v>
                </c:pt>
                <c:pt idx="3">
                  <c:v>200</c:v>
                </c:pt>
                <c:pt idx="4">
                  <c:v>310</c:v>
                </c:pt>
                <c:pt idx="5">
                  <c:v>450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09230528"/>
        <c:axId val="-109229984"/>
      </c:barChart>
      <c:catAx>
        <c:axId val="-10923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09229984"/>
        <c:crosses val="autoZero"/>
        <c:auto val="1"/>
        <c:lblAlgn val="ctr"/>
        <c:lblOffset val="100"/>
        <c:noMultiLvlLbl val="0"/>
      </c:catAx>
      <c:valAx>
        <c:axId val="-10922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0923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[exelFinalMacro1.xltm]Folha10!Tabela dinâmica3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Folha10!$B$3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Folha10!$A$4:$A$10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Folha10!$B$4:$B$10</c:f>
              <c:numCache>
                <c:formatCode>General</c:formatCode>
                <c:ptCount val="6"/>
                <c:pt idx="0">
                  <c:v>588.33333333333337</c:v>
                </c:pt>
                <c:pt idx="1">
                  <c:v>588.33333333333337</c:v>
                </c:pt>
                <c:pt idx="2">
                  <c:v>588.33333333333337</c:v>
                </c:pt>
                <c:pt idx="3">
                  <c:v>588.33333333333337</c:v>
                </c:pt>
                <c:pt idx="4">
                  <c:v>588.33333333333337</c:v>
                </c:pt>
                <c:pt idx="5">
                  <c:v>588.33333333333337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09227808"/>
        <c:axId val="-109224000"/>
      </c:barChart>
      <c:catAx>
        <c:axId val="-10922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09224000"/>
        <c:crosses val="autoZero"/>
        <c:auto val="1"/>
        <c:lblAlgn val="ctr"/>
        <c:lblOffset val="100"/>
        <c:noMultiLvlLbl val="0"/>
      </c:catAx>
      <c:valAx>
        <c:axId val="-10922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0922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</c:strLit>
          </c:cat>
          <c:val>
            <c:numLit>
              <c:formatCode>General</c:formatCode>
              <c:ptCount val="6"/>
              <c:pt idx="0">
                <c:v>25</c:v>
              </c:pt>
              <c:pt idx="1">
                <c:v>50</c:v>
              </c:pt>
              <c:pt idx="2">
                <c:v>110</c:v>
              </c:pt>
              <c:pt idx="3">
                <c:v>200</c:v>
              </c:pt>
              <c:pt idx="4">
                <c:v>310</c:v>
              </c:pt>
              <c:pt idx="5">
                <c:v>450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09233792"/>
        <c:axId val="-109228896"/>
      </c:barChart>
      <c:catAx>
        <c:axId val="-1092337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0922889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-10922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0923379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extLst>
    <c:ext xmlns:c15="http://schemas.microsoft.com/office/drawing/2012/chart" uri="{723BEF56-08C2-4564-9609-F4CBC75E7E54}">
      <c15:pivotSource>
        <c15:name>[exelFinalMacro1.xltm]PivotChartTable1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[exelFinalMacro1.xltm]Folha11!Tabela dinâmica1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Folha11!$B$3:$B$4</c:f>
              <c:strCache>
                <c:ptCount val="1"/>
                <c:pt idx="0">
                  <c:v>01/12/2015 11:32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Folha11!$A$5:$A$11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Folha11!$B$5:$B$11</c:f>
              <c:numCache>
                <c:formatCode>General</c:formatCode>
                <c:ptCount val="6"/>
                <c:pt idx="0">
                  <c:v>25</c:v>
                </c:pt>
                <c:pt idx="1">
                  <c:v>50</c:v>
                </c:pt>
                <c:pt idx="2">
                  <c:v>110</c:v>
                </c:pt>
                <c:pt idx="3">
                  <c:v>200</c:v>
                </c:pt>
                <c:pt idx="4">
                  <c:v>310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Folha11!$C$3:$C$4</c:f>
              <c:strCache>
                <c:ptCount val="1"/>
                <c:pt idx="0">
                  <c:v>01/12/2015 11:41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Folha11!$A$5:$A$11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Folha11!$C$5:$C$11</c:f>
              <c:numCache>
                <c:formatCode>General</c:formatCode>
                <c:ptCount val="6"/>
                <c:pt idx="0">
                  <c:v>25</c:v>
                </c:pt>
                <c:pt idx="1">
                  <c:v>55</c:v>
                </c:pt>
                <c:pt idx="2">
                  <c:v>115</c:v>
                </c:pt>
                <c:pt idx="3">
                  <c:v>205</c:v>
                </c:pt>
                <c:pt idx="4">
                  <c:v>325</c:v>
                </c:pt>
                <c:pt idx="5">
                  <c:v>475</c:v>
                </c:pt>
              </c:numCache>
            </c:numRef>
          </c:val>
        </c:ser>
        <c:ser>
          <c:idx val="2"/>
          <c:order val="2"/>
          <c:tx>
            <c:strRef>
              <c:f>Folha11!$D$3:$D$4</c:f>
              <c:strCache>
                <c:ptCount val="1"/>
                <c:pt idx="0">
                  <c:v>01/12/2015 11:48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Folha11!$A$5:$A$11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Folha11!$D$5:$D$11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09225088"/>
        <c:axId val="-109224544"/>
      </c:barChart>
      <c:catAx>
        <c:axId val="-10922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09224544"/>
        <c:crosses val="autoZero"/>
        <c:auto val="1"/>
        <c:lblAlgn val="ctr"/>
        <c:lblOffset val="100"/>
        <c:noMultiLvlLbl val="0"/>
      </c:catAx>
      <c:valAx>
        <c:axId val="-1092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0922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Folha1!$S$2:$X$2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Folha1!$S$3:$X$3</c:f>
              <c:numCache>
                <c:formatCode>General</c:formatCode>
                <c:ptCount val="6"/>
                <c:pt idx="0">
                  <c:v>25</c:v>
                </c:pt>
                <c:pt idx="1">
                  <c:v>55</c:v>
                </c:pt>
                <c:pt idx="2">
                  <c:v>115</c:v>
                </c:pt>
                <c:pt idx="3">
                  <c:v>205</c:v>
                </c:pt>
                <c:pt idx="4">
                  <c:v>325</c:v>
                </c:pt>
                <c:pt idx="5">
                  <c:v>475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Folha1!$S$4:$X$4</c:f>
              <c:numCache>
                <c:formatCode>General</c:formatCode>
                <c:ptCount val="6"/>
                <c:pt idx="0">
                  <c:v>25</c:v>
                </c:pt>
                <c:pt idx="1">
                  <c:v>50</c:v>
                </c:pt>
                <c:pt idx="2">
                  <c:v>110</c:v>
                </c:pt>
                <c:pt idx="3">
                  <c:v>200</c:v>
                </c:pt>
                <c:pt idx="4">
                  <c:v>310</c:v>
                </c:pt>
                <c:pt idx="5">
                  <c:v>450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Folha1!#REF!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9221280"/>
        <c:axId val="-109233248"/>
      </c:lineChart>
      <c:catAx>
        <c:axId val="-109221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09233248"/>
        <c:crosses val="autoZero"/>
        <c:auto val="1"/>
        <c:lblAlgn val="ctr"/>
        <c:lblOffset val="100"/>
        <c:noMultiLvlLbl val="0"/>
      </c:catAx>
      <c:valAx>
        <c:axId val="-10923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09221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Folha14!$C$5</c:f>
              <c:strCache>
                <c:ptCount val="1"/>
                <c:pt idx="0">
                  <c:v>Ana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Folha14!$D$4:$F$4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Folha14!$D$5:$F$5</c:f>
              <c:numCache>
                <c:formatCode>General</c:formatCode>
                <c:ptCount val="3"/>
                <c:pt idx="0">
                  <c:v>100</c:v>
                </c:pt>
                <c:pt idx="1">
                  <c:v>120</c:v>
                </c:pt>
                <c:pt idx="2">
                  <c:v>300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Folha14!$C$6</c:f>
              <c:strCache>
                <c:ptCount val="1"/>
                <c:pt idx="0">
                  <c:v>Rui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Folha14!$D$4:$F$4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Folha14!$D$6:$F$6</c:f>
              <c:numCache>
                <c:formatCode>General</c:formatCode>
                <c:ptCount val="3"/>
                <c:pt idx="0">
                  <c:v>50</c:v>
                </c:pt>
                <c:pt idx="1">
                  <c:v>70</c:v>
                </c:pt>
                <c:pt idx="2">
                  <c:v>120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Folha14!$C$8</c:f>
              <c:strCache>
                <c:ptCount val="1"/>
                <c:pt idx="0">
                  <c:v>Media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Folha14!$D$4:$F$4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Folha14!$D$8:$F$8</c:f>
              <c:numCache>
                <c:formatCode>General</c:formatCode>
                <c:ptCount val="3"/>
                <c:pt idx="0">
                  <c:v>150</c:v>
                </c:pt>
                <c:pt idx="1">
                  <c:v>200</c:v>
                </c:pt>
                <c:pt idx="2">
                  <c:v>160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9231616"/>
        <c:axId val="-10923488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Folha14!$C$7</c15:sqref>
                        </c15:formulaRef>
                      </c:ext>
                    </c:extLst>
                    <c:strCache>
                      <c:ptCount val="1"/>
                      <c:pt idx="0">
                        <c:v>Paula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Folha14!$D$4:$F$4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Folha14!$D$7:$F$7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200</c:v>
                      </c:pt>
                      <c:pt idx="1">
                        <c:v>210</c:v>
                      </c:pt>
                      <c:pt idx="2">
                        <c:v>340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10923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09234880"/>
        <c:crosses val="autoZero"/>
        <c:auto val="1"/>
        <c:lblAlgn val="ctr"/>
        <c:lblOffset val="100"/>
        <c:noMultiLvlLbl val="0"/>
      </c:catAx>
      <c:valAx>
        <c:axId val="-1092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0923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525780</xdr:colOff>
      <xdr:row>1</xdr:row>
      <xdr:rowOff>184785</xdr:rowOff>
    </xdr:from>
    <xdr:to>
      <xdr:col>10</xdr:col>
      <xdr:colOff>40005</xdr:colOff>
      <xdr:row>16</xdr:row>
      <xdr:rowOff>184785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590550</xdr:colOff>
      <xdr:row>3</xdr:row>
      <xdr:rowOff>9525</xdr:rowOff>
    </xdr:from>
    <xdr:to>
      <xdr:col>13</xdr:col>
      <xdr:colOff>590550</xdr:colOff>
      <xdr:row>16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39300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14</xdr:col>
      <xdr:colOff>594360</xdr:colOff>
      <xdr:row>24</xdr:row>
      <xdr:rowOff>152400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14</xdr:col>
      <xdr:colOff>358140</xdr:colOff>
      <xdr:row>19</xdr:row>
      <xdr:rowOff>160020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320040</xdr:colOff>
      <xdr:row>1</xdr:row>
      <xdr:rowOff>30480</xdr:rowOff>
    </xdr:from>
    <xdr:to>
      <xdr:col>16</xdr:col>
      <xdr:colOff>449580</xdr:colOff>
      <xdr:row>30</xdr:row>
      <xdr:rowOff>15240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556260</xdr:colOff>
      <xdr:row>1</xdr:row>
      <xdr:rowOff>60960</xdr:rowOff>
    </xdr:from>
    <xdr:to>
      <xdr:col>16</xdr:col>
      <xdr:colOff>30480</xdr:colOff>
      <xdr:row>29</xdr:row>
      <xdr:rowOff>53340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548640</xdr:colOff>
      <xdr:row>6</xdr:row>
      <xdr:rowOff>30480</xdr:rowOff>
    </xdr:from>
    <xdr:to>
      <xdr:col>15</xdr:col>
      <xdr:colOff>358140</xdr:colOff>
      <xdr:row>24</xdr:row>
      <xdr:rowOff>167640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200024</xdr:colOff>
      <xdr:row>12</xdr:row>
      <xdr:rowOff>47624</xdr:rowOff>
    </xdr:from>
    <xdr:to>
      <xdr:col>11</xdr:col>
      <xdr:colOff>228600</xdr:colOff>
      <xdr:row>34</xdr:row>
      <xdr:rowOff>57149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38100</xdr:colOff>
      <xdr:row>15</xdr:row>
      <xdr:rowOff>180975</xdr:rowOff>
    </xdr:from>
    <xdr:to>
      <xdr:col>15</xdr:col>
      <xdr:colOff>38100</xdr:colOff>
      <xdr:row>29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24900" y="3038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6</xdr:row>
      <xdr:rowOff>19050</xdr:rowOff>
    </xdr:from>
    <xdr:to>
      <xdr:col>10</xdr:col>
      <xdr:colOff>19050</xdr:colOff>
      <xdr:row>20</xdr:row>
      <xdr:rowOff>95250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518160</xdr:colOff>
      <xdr:row>5</xdr:row>
      <xdr:rowOff>73342</xdr:rowOff>
    </xdr:from>
    <xdr:to>
      <xdr:col>14</xdr:col>
      <xdr:colOff>213360</xdr:colOff>
      <xdr:row>19</xdr:row>
      <xdr:rowOff>149542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95250</xdr:colOff>
      <xdr:row>4</xdr:row>
      <xdr:rowOff>47625</xdr:rowOff>
    </xdr:from>
    <xdr:to>
      <xdr:col>6</xdr:col>
      <xdr:colOff>95250</xdr:colOff>
      <xdr:row>17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4050" y="8096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556260</xdr:colOff>
      <xdr:row>6</xdr:row>
      <xdr:rowOff>24765</xdr:rowOff>
    </xdr:from>
    <xdr:to>
      <xdr:col>8</xdr:col>
      <xdr:colOff>144780</xdr:colOff>
      <xdr:row>21</xdr:row>
      <xdr:rowOff>24765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381000</xdr:colOff>
      <xdr:row>0</xdr:row>
      <xdr:rowOff>30480</xdr:rowOff>
    </xdr:from>
    <xdr:to>
      <xdr:col>11</xdr:col>
      <xdr:colOff>381000</xdr:colOff>
      <xdr:row>13</xdr:row>
      <xdr:rowOff>120015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00" y="3048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441960</xdr:colOff>
          <xdr:row>1</xdr:row>
          <xdr:rowOff>0</xdr:rowOff>
        </xdr:from>
        <xdr:to>
          <xdr:col>16</xdr:col>
          <xdr:colOff>68580</xdr:colOff>
          <xdr:row>2</xdr:row>
          <xdr:rowOff>137160</xdr:rowOff>
        </xdr:to>
        <xdr:sp macro="" textlink="">
          <xdr:nvSpPr>
            <xdr:cNvPr id="13315" name="CommandButton21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222885</xdr:colOff>
      <xdr:row>11</xdr:row>
      <xdr:rowOff>128587</xdr:rowOff>
    </xdr:from>
    <xdr:to>
      <xdr:col>23</xdr:col>
      <xdr:colOff>80010</xdr:colOff>
      <xdr:row>26</xdr:row>
      <xdr:rowOff>21907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1</xdr:row>
      <xdr:rowOff>85725</xdr:rowOff>
    </xdr:from>
    <xdr:to>
      <xdr:col>15</xdr:col>
      <xdr:colOff>205740</xdr:colOff>
      <xdr:row>16</xdr:row>
      <xdr:rowOff>85725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a lopes" refreshedDate="42016.50347314815" createdVersion="5" refreshedVersion="5" minRefreshableVersion="3" recordCount="18">
  <cacheSource type="worksheet">
    <worksheetSource ref="A1:M19" sheet="Folha1"/>
  </cacheSource>
  <cacheFields count="15">
    <cacheField name="Jogador" numFmtId="22">
      <sharedItems containsSemiMixedTypes="0" containsNonDate="0" containsDate="1" containsString="0" minDate="2015-12-01T11:32:43" maxDate="2015-12-01T11:48:49" count="3">
        <d v="2015-12-01T11:32:43"/>
        <d v="2015-12-01T11:41:06"/>
        <d v="2015-12-01T11:48:49"/>
      </sharedItems>
    </cacheField>
    <cacheField name="idd" numFmtId="0">
      <sharedItems containsSemiMixedTypes="0" containsString="0" containsNumber="1" containsInteger="1" minValue="6" maxValue="9" count="3">
        <n v="8"/>
        <n v="6"/>
        <n v="9"/>
      </sharedItems>
    </cacheField>
    <cacheField name="sexo" numFmtId="0">
      <sharedItems count="2">
        <s v=" Feminino"/>
        <s v=" Masculino"/>
      </sharedItems>
    </cacheField>
    <cacheField name="escolaridade" numFmtId="0">
      <sharedItems/>
    </cacheField>
    <cacheField name="maus" numFmtId="0">
      <sharedItems containsSemiMixedTypes="0" containsString="0" containsNumber="1" containsInteger="1" minValue="0" maxValue="2" count="3">
        <n v="1"/>
        <n v="0"/>
        <n v="2"/>
      </sharedItems>
    </cacheField>
    <cacheField name="bons" numFmtId="0">
      <sharedItems containsSemiMixedTypes="0" containsString="0" containsNumber="1" containsInteger="1" minValue="3" maxValue="15" count="5">
        <n v="3"/>
        <n v="6"/>
        <n v="9"/>
        <n v="12"/>
        <n v="15"/>
      </sharedItems>
    </cacheField>
    <cacheField name="tempo" numFmtId="0">
      <sharedItems containsSemiMixedTypes="0" containsString="0" containsNumber="1" containsInteger="1" minValue="9" maxValue="120" count="14">
        <n v="17"/>
        <n v="24"/>
        <n v="47"/>
        <n v="71"/>
        <n v="100"/>
        <n v="120"/>
        <n v="14"/>
        <n v="18"/>
        <n v="40"/>
        <n v="60"/>
        <n v="101"/>
        <n v="9"/>
        <n v="22"/>
        <n v="59"/>
      </sharedItems>
    </cacheField>
    <cacheField name="vida" numFmtId="0">
      <sharedItems containsSemiMixedTypes="0" containsString="0" containsNumber="1" containsInteger="1" minValue="2" maxValue="3"/>
    </cacheField>
    <cacheField name="nivel" numFmtId="0">
      <sharedItems containsSemiMixedTypes="0" containsString="0" containsNumber="1" containsInteger="1" minValue="0" maxValue="5" count="6">
        <n v="0"/>
        <n v="1"/>
        <n v="2"/>
        <n v="3"/>
        <n v="4"/>
        <n v="5"/>
      </sharedItems>
    </cacheField>
    <cacheField name="pontos" numFmtId="0">
      <sharedItems containsSemiMixedTypes="0" containsString="0" containsNumber="1" containsInteger="1" minValue="25" maxValue="475" count="14">
        <n v="25"/>
        <n v="50"/>
        <n v="110"/>
        <n v="200"/>
        <n v="310"/>
        <n v="450"/>
        <n v="55"/>
        <n v="115"/>
        <n v="205"/>
        <n v="325"/>
        <n v="475"/>
        <n v="30"/>
        <n v="320"/>
        <n v="470"/>
      </sharedItems>
    </cacheField>
    <cacheField name="insist" numFmtId="0">
      <sharedItems containsSemiMixedTypes="0" containsString="0" containsNumber="1" containsInteger="1" minValue="0" maxValue="6"/>
    </cacheField>
    <cacheField name="final" numFmtId="0">
      <sharedItems/>
    </cacheField>
    <cacheField name="vidasGastas" numFmtId="0">
      <sharedItems containsSemiMixedTypes="0" containsString="0" containsNumber="1" containsInteger="1" minValue="0" maxValue="1"/>
    </cacheField>
    <cacheField name="Campo1" numFmtId="0" formula=" 0" databaseField="0"/>
    <cacheField name="Campo2" numFmtId="0" formula=" 0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a" refreshedDate="42016.617484490744" createdVersion="5" refreshedVersion="5" minRefreshableVersion="3" recordCount="18">
  <cacheSource type="worksheet">
    <worksheetSource ref="A1:N19" sheet="Folha1"/>
  </cacheSource>
  <cacheFields count="14">
    <cacheField name="Jogador" numFmtId="22">
      <sharedItems containsSemiMixedTypes="0" containsNonDate="0" containsDate="1" containsString="0" minDate="2015-12-01T11:32:43" maxDate="2015-12-01T11:48:49" count="3">
        <d v="2015-12-01T11:32:43"/>
        <d v="2015-12-01T11:41:06"/>
        <d v="2015-12-01T11:48:49"/>
      </sharedItems>
    </cacheField>
    <cacheField name="idd" numFmtId="0">
      <sharedItems containsSemiMixedTypes="0" containsString="0" containsNumber="1" containsInteger="1" minValue="6" maxValue="9"/>
    </cacheField>
    <cacheField name="sexo" numFmtId="0">
      <sharedItems/>
    </cacheField>
    <cacheField name="escolaridade" numFmtId="0">
      <sharedItems/>
    </cacheField>
    <cacheField name="maus" numFmtId="0">
      <sharedItems containsSemiMixedTypes="0" containsString="0" containsNumber="1" containsInteger="1" minValue="0" maxValue="2"/>
    </cacheField>
    <cacheField name="bons" numFmtId="0">
      <sharedItems containsSemiMixedTypes="0" containsString="0" containsNumber="1" containsInteger="1" minValue="3" maxValue="15"/>
    </cacheField>
    <cacheField name="tempo" numFmtId="0">
      <sharedItems containsSemiMixedTypes="0" containsString="0" containsNumber="1" containsInteger="1" minValue="9" maxValue="120"/>
    </cacheField>
    <cacheField name="vida" numFmtId="0">
      <sharedItems containsSemiMixedTypes="0" containsString="0" containsNumber="1" containsInteger="1" minValue="2" maxValue="3"/>
    </cacheField>
    <cacheField name="nivel" numFmtId="0">
      <sharedItems containsSemiMixedTypes="0" containsString="0" containsNumber="1" containsInteger="1" minValue="0" maxValue="5" count="6">
        <n v="0"/>
        <n v="1"/>
        <n v="2"/>
        <n v="3"/>
        <n v="4"/>
        <n v="5"/>
      </sharedItems>
    </cacheField>
    <cacheField name="pontos" numFmtId="0">
      <sharedItems containsSemiMixedTypes="0" containsString="0" containsNumber="1" containsInteger="1" minValue="25" maxValue="475"/>
    </cacheField>
    <cacheField name="insist" numFmtId="0">
      <sharedItems containsSemiMixedTypes="0" containsString="0" containsNumber="1" containsInteger="1" minValue="0" maxValue="6"/>
    </cacheField>
    <cacheField name="final" numFmtId="0">
      <sharedItems/>
    </cacheField>
    <cacheField name="vidasGastas" numFmtId="0">
      <sharedItems containsSemiMixedTypes="0" containsString="0" containsNumber="1" containsInteger="1" minValue="0" maxValue="1"/>
    </cacheField>
    <cacheField name="media" numFmtId="0">
      <sharedItems containsSemiMixedTypes="0" containsString="0" containsNumber="1" minValue="196.11111111111111" maxValue="196.11111111111111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na" refreshedDate="42017.689001157407" createdVersion="5" refreshedVersion="5" minRefreshableVersion="3" recordCount="4">
  <cacheSource type="worksheet">
    <worksheetSource ref="R1:X4" sheet="Folha1"/>
  </cacheSource>
  <cacheFields count="7">
    <cacheField name="Jogador" numFmtId="0">
      <sharedItems containsDate="1" containsMixedTypes="1" minDate="2015-12-01T11:32:43" maxDate="2015-12-01T11:48:49" count="4">
        <d v="2015-12-01T11:32:43"/>
        <d v="2015-12-01T11:41:06"/>
        <d v="2015-12-01T11:48:49"/>
        <s v="Média"/>
      </sharedItems>
    </cacheField>
    <cacheField name="0" numFmtId="0">
      <sharedItems containsSemiMixedTypes="0" containsString="0" containsNumber="1" minValue="25" maxValue="30"/>
    </cacheField>
    <cacheField name="1" numFmtId="0">
      <sharedItems containsSemiMixedTypes="0" containsString="0" containsNumber="1" minValue="50" maxValue="55"/>
    </cacheField>
    <cacheField name="2" numFmtId="0">
      <sharedItems containsSemiMixedTypes="0" containsString="0" containsNumber="1" minValue="110" maxValue="115"/>
    </cacheField>
    <cacheField name="3" numFmtId="0">
      <sharedItems containsSemiMixedTypes="0" containsString="0" containsNumber="1" minValue="200" maxValue="205"/>
    </cacheField>
    <cacheField name="4" numFmtId="0">
      <sharedItems containsSemiMixedTypes="0" containsString="0" containsNumber="1" minValue="310" maxValue="325"/>
    </cacheField>
    <cacheField name="5" numFmtId="0">
      <sharedItems containsSemiMixedTypes="0" containsString="0" containsNumber="1" containsInteger="1" minValue="450" maxValue="4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paula lopes" refreshedDate="42018.725514814818" createdVersion="5" refreshedVersion="5" minRefreshableVersion="3" recordCount="4">
  <cacheSource type="worksheet">
    <worksheetSource ref="R1:X5" sheet="Folha1"/>
  </cacheSource>
  <cacheFields count="7">
    <cacheField name="Jogador" numFmtId="22">
      <sharedItems containsNonDate="0" containsDate="1" containsString="0" containsBlank="1" minDate="2015-12-01T11:32:43" maxDate="2015-12-01T11:48:49" count="4">
        <d v="2015-12-01T11:48:49"/>
        <d v="2015-12-01T11:41:06"/>
        <d v="2015-12-01T11:32:43"/>
        <m/>
      </sharedItems>
    </cacheField>
    <cacheField name="0" numFmtId="0">
      <sharedItems containsSemiMixedTypes="0" containsString="0" containsNumber="1" minValue="25" maxValue="30"/>
    </cacheField>
    <cacheField name="1" numFmtId="0">
      <sharedItems containsSemiMixedTypes="0" containsString="0" containsNumber="1" minValue="50" maxValue="55"/>
    </cacheField>
    <cacheField name="2" numFmtId="0">
      <sharedItems containsSemiMixedTypes="0" containsString="0" containsNumber="1" minValue="110" maxValue="115"/>
    </cacheField>
    <cacheField name="3" numFmtId="0">
      <sharedItems containsSemiMixedTypes="0" containsString="0" containsNumber="1" minValue="200" maxValue="205"/>
    </cacheField>
    <cacheField name="4" numFmtId="0">
      <sharedItems containsSemiMixedTypes="0" containsString="0" containsNumber="1" minValue="310" maxValue="325"/>
    </cacheField>
    <cacheField name="5" numFmtId="0">
      <sharedItems containsSemiMixedTypes="0" containsString="0" containsNumber="1" minValue="450" maxValue="4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Ana" refreshedDate="42016.623901273146" backgroundQuery="1" createdVersion="3" refreshedVersion="5" minRefreshableVersion="3" recordCount="0" supportSubquery="1" supportAdvancedDrill="1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2">
    <cacheHierarchy uniqueName="[Intervalo].[Jogador]" caption="Jogador" attribute="1" time="1" defaultMemberUniqueName="[Intervalo].[Jogador].[All]" allUniqueName="[Intervalo].[Jogador].[All]" dimensionUniqueName="[Intervalo]" displayFolder="" count="0" memberValueDatatype="7" unbalanced="0"/>
    <cacheHierarchy uniqueName="[Intervalo].[idd]" caption="idd" attribute="1" defaultMemberUniqueName="[Intervalo].[idd].[All]" allUniqueName="[Intervalo].[idd].[All]" dimensionUniqueName="[Intervalo]" displayFolder="" count="0" memberValueDatatype="20" unbalanced="0"/>
    <cacheHierarchy uniqueName="[Intervalo].[sexo]" caption="sexo" attribute="1" defaultMemberUniqueName="[Intervalo].[sexo].[All]" allUniqueName="[Intervalo].[sexo].[All]" dimensionUniqueName="[Intervalo]" displayFolder="" count="0" memberValueDatatype="130" unbalanced="0"/>
    <cacheHierarchy uniqueName="[Intervalo].[escolaridade]" caption="escolaridade" attribute="1" defaultMemberUniqueName="[Intervalo].[escolaridade].[All]" allUniqueName="[Intervalo].[escolaridade].[All]" dimensionUniqueName="[Intervalo]" displayFolder="" count="0" memberValueDatatype="130" unbalanced="0"/>
    <cacheHierarchy uniqueName="[Intervalo].[maus]" caption="maus" attribute="1" defaultMemberUniqueName="[Intervalo].[maus].[All]" allUniqueName="[Intervalo].[maus].[All]" dimensionUniqueName="[Intervalo]" displayFolder="" count="0" memberValueDatatype="20" unbalanced="0"/>
    <cacheHierarchy uniqueName="[Intervalo].[bons]" caption="bons" attribute="1" defaultMemberUniqueName="[Intervalo].[bons].[All]" allUniqueName="[Intervalo].[bons].[All]" dimensionUniqueName="[Intervalo]" displayFolder="" count="0" memberValueDatatype="20" unbalanced="0"/>
    <cacheHierarchy uniqueName="[Intervalo].[tempo]" caption="tempo" attribute="1" defaultMemberUniqueName="[Intervalo].[tempo].[All]" allUniqueName="[Intervalo].[tempo].[All]" dimensionUniqueName="[Intervalo]" displayFolder="" count="0" memberValueDatatype="20" unbalanced="0"/>
    <cacheHierarchy uniqueName="[Intervalo].[vida]" caption="vida" attribute="1" defaultMemberUniqueName="[Intervalo].[vida].[All]" allUniqueName="[Intervalo].[vida].[All]" dimensionUniqueName="[Intervalo]" displayFolder="" count="0" memberValueDatatype="20" unbalanced="0"/>
    <cacheHierarchy uniqueName="[Intervalo].[nivel]" caption="nivel" attribute="1" defaultMemberUniqueName="[Intervalo].[nivel].[All]" allUniqueName="[Intervalo].[nivel].[All]" dimensionUniqueName="[Intervalo]" displayFolder="" count="0" memberValueDatatype="20" unbalanced="0"/>
    <cacheHierarchy uniqueName="[Intervalo].[pontos]" caption="pontos" attribute="1" defaultMemberUniqueName="[Intervalo].[pontos].[All]" allUniqueName="[Intervalo].[pontos].[All]" dimensionUniqueName="[Intervalo]" displayFolder="" count="0" memberValueDatatype="20" unbalanced="0"/>
    <cacheHierarchy uniqueName="[Intervalo].[insist]" caption="insist" attribute="1" defaultMemberUniqueName="[Intervalo].[insist].[All]" allUniqueName="[Intervalo].[insist].[All]" dimensionUniqueName="[Intervalo]" displayFolder="" count="0" memberValueDatatype="20" unbalanced="0"/>
    <cacheHierarchy uniqueName="[Intervalo].[final]" caption="final" attribute="1" defaultMemberUniqueName="[Intervalo].[final].[All]" allUniqueName="[Intervalo].[final].[All]" dimensionUniqueName="[Intervalo]" displayFolder="" count="0" memberValueDatatype="130" unbalanced="0"/>
    <cacheHierarchy uniqueName="[Intervalo].[vidasGastas]" caption="vidasGastas" attribute="1" defaultMemberUniqueName="[Intervalo].[vidasGastas].[All]" allUniqueName="[Intervalo].[vidasGastas].[All]" dimensionUniqueName="[Intervalo]" displayFolder="" count="0" memberValueDatatype="20" unbalanced="0"/>
    <cacheHierarchy uniqueName="[Intervalo1].[Jogador]" caption="Jogador" attribute="1" time="1" defaultMemberUniqueName="[Intervalo1].[Jogador].[All]" allUniqueName="[Intervalo1].[Jogador].[All]" dimensionUniqueName="[Intervalo1]" displayFolder="" count="2" memberValueDatatype="7" unbalanced="0"/>
    <cacheHierarchy uniqueName="[Intervalo1].[idd]" caption="idd" attribute="1" defaultMemberUniqueName="[Intervalo1].[idd].[All]" allUniqueName="[Intervalo1].[idd].[All]" dimensionUniqueName="[Intervalo1]" displayFolder="" count="0" memberValueDatatype="20" unbalanced="0"/>
    <cacheHierarchy uniqueName="[Intervalo1].[sexo]" caption="sexo" attribute="1" defaultMemberUniqueName="[Intervalo1].[sexo].[All]" allUniqueName="[Intervalo1].[sexo].[All]" dimensionUniqueName="[Intervalo1]" displayFolder="" count="0" memberValueDatatype="130" unbalanced="0"/>
    <cacheHierarchy uniqueName="[Intervalo1].[escolaridade]" caption="escolaridade" attribute="1" defaultMemberUniqueName="[Intervalo1].[escolaridade].[All]" allUniqueName="[Intervalo1].[escolaridade].[All]" dimensionUniqueName="[Intervalo1]" displayFolder="" count="0" memberValueDatatype="130" unbalanced="0"/>
    <cacheHierarchy uniqueName="[Intervalo1].[maus]" caption="maus" attribute="1" defaultMemberUniqueName="[Intervalo1].[maus].[All]" allUniqueName="[Intervalo1].[maus].[All]" dimensionUniqueName="[Intervalo1]" displayFolder="" count="0" memberValueDatatype="20" unbalanced="0"/>
    <cacheHierarchy uniqueName="[Intervalo1].[bons]" caption="bons" attribute="1" defaultMemberUniqueName="[Intervalo1].[bons].[All]" allUniqueName="[Intervalo1].[bons].[All]" dimensionUniqueName="[Intervalo1]" displayFolder="" count="0" memberValueDatatype="20" unbalanced="0"/>
    <cacheHierarchy uniqueName="[Intervalo1].[tempo]" caption="tempo" attribute="1" defaultMemberUniqueName="[Intervalo1].[tempo].[All]" allUniqueName="[Intervalo1].[tempo].[All]" dimensionUniqueName="[Intervalo1]" displayFolder="" count="0" memberValueDatatype="20" unbalanced="0"/>
    <cacheHierarchy uniqueName="[Intervalo1].[vida]" caption="vida" attribute="1" defaultMemberUniqueName="[Intervalo1].[vida].[All]" allUniqueName="[Intervalo1].[vida].[All]" dimensionUniqueName="[Intervalo1]" displayFolder="" count="0" memberValueDatatype="20" unbalanced="0"/>
    <cacheHierarchy uniqueName="[Intervalo1].[nivel]" caption="nivel" attribute="1" defaultMemberUniqueName="[Intervalo1].[nivel].[All]" allUniqueName="[Intervalo1].[nivel].[All]" dimensionUniqueName="[Intervalo1]" displayFolder="" count="0" memberValueDatatype="20" unbalanced="0"/>
    <cacheHierarchy uniqueName="[Intervalo1].[pontos]" caption="pontos" attribute="1" defaultMemberUniqueName="[Intervalo1].[pontos].[All]" allUniqueName="[Intervalo1].[pontos].[All]" dimensionUniqueName="[Intervalo1]" displayFolder="" count="0" memberValueDatatype="20" unbalanced="0"/>
    <cacheHierarchy uniqueName="[Intervalo1].[insist]" caption="insist" attribute="1" defaultMemberUniqueName="[Intervalo1].[insist].[All]" allUniqueName="[Intervalo1].[insist].[All]" dimensionUniqueName="[Intervalo1]" displayFolder="" count="0" memberValueDatatype="20" unbalanced="0"/>
    <cacheHierarchy uniqueName="[Intervalo1].[final]" caption="final" attribute="1" defaultMemberUniqueName="[Intervalo1].[final].[All]" allUniqueName="[Intervalo1].[final].[All]" dimensionUniqueName="[Intervalo1]" displayFolder="" count="0" memberValueDatatype="130" unbalanced="0"/>
    <cacheHierarchy uniqueName="[Intervalo1].[vidasGastas]" caption="vidasGastas" attribute="1" defaultMemberUniqueName="[Intervalo1].[vidasGastas].[All]" allUniqueName="[Intervalo1].[vidasGastas].[All]" dimensionUniqueName="[Intervalo1]" displayFolder="" count="0" memberValueDatatype="20" unbalanced="0"/>
    <cacheHierarchy uniqueName="[Intervalo1].[media]" caption="media" attribute="1" defaultMemberUniqueName="[Intervalo1].[media].[All]" allUniqueName="[Intervalo1].[media].[All]" dimensionUniqueName="[Intervalo1]" displayFolder="" count="0" memberValueDatatype="5" unbalanced="0"/>
    <cacheHierarchy uniqueName="[Measures].[Soma de media]" caption="Soma de media" measure="1" displayFolder="" measureGroup="Intervalo1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a de nivel]" caption="Soma de nivel" measure="1" displayFolder="" measureGroup="Intervalo1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__XL_Count Intervalo]" caption="__XL_Count Intervalo" measure="1" displayFolder="" measureGroup="Intervalo" count="0" hidden="1"/>
    <cacheHierarchy uniqueName="[Measures].[__XL_Count Intervalo1]" caption="__XL_Count Intervalo1" measure="1" displayFolder="" measureGroup="Intervalo1" count="0" hidden="1"/>
    <cacheHierarchy uniqueName="[Measures].[__XL_Count of Models]" caption="__XL_Count of Model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4"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paula lopes" refreshedDate="42018.726209259257" backgroundQuery="1" createdVersion="5" refreshedVersion="5" minRefreshableVersion="3" recordCount="0" supportSubquery="1" supportAdvancedDrill="1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Intervalo1].[nivel].[nivel]" caption="nivel" numFmtId="0" hierarchy="21" level="1">
      <sharedItems containsSemiMixedTypes="0" containsString="0" containsNumber="1" containsInteger="1" minValue="0" maxValue="5" count="6">
        <n v="0"/>
        <n v="1"/>
        <n v="2"/>
        <n v="3"/>
        <n v="4"/>
        <n v="5"/>
      </sharedItems>
      <extLst>
        <ext xmlns:x15="http://schemas.microsoft.com/office/spreadsheetml/2010/11/main" uri="{4F2E5C28-24EA-4eb8-9CBF-B6C8F9C3D259}">
          <x15:cachedUniqueNames>
            <x15:cachedUniqueName index="0" name="[Intervalo1].[nivel].&amp;[0]"/>
            <x15:cachedUniqueName index="1" name="[Intervalo1].[nivel].&amp;[1]"/>
            <x15:cachedUniqueName index="2" name="[Intervalo1].[nivel].&amp;[2]"/>
            <x15:cachedUniqueName index="3" name="[Intervalo1].[nivel].&amp;[3]"/>
            <x15:cachedUniqueName index="4" name="[Intervalo1].[nivel].&amp;[4]"/>
            <x15:cachedUniqueName index="5" name="[Intervalo1].[nivel].&amp;[5]"/>
          </x15:cachedUniqueNames>
        </ext>
      </extLst>
    </cacheField>
    <cacheField name="[Intervalo1].[Jogador].[Jogador]" caption="Jogador" numFmtId="0" hierarchy="13" level="1">
      <sharedItems containsSemiMixedTypes="0" containsNonDate="0" containsString="0"/>
    </cacheField>
    <cacheField name="[Measures].[Soma de pontos]" caption="Soma de pontos" numFmtId="0" hierarchy="29" level="32767"/>
  </cacheFields>
  <cacheHierarchies count="34">
    <cacheHierarchy uniqueName="[Intervalo].[Jogador]" caption="Jogador" attribute="1" time="1" defaultMemberUniqueName="[Intervalo].[Jogador].[All]" allUniqueName="[Intervalo].[Jogador].[All]" dimensionUniqueName="[Intervalo]" displayFolder="" count="0" memberValueDatatype="7" unbalanced="0"/>
    <cacheHierarchy uniqueName="[Intervalo].[idd]" caption="idd" attribute="1" defaultMemberUniqueName="[Intervalo].[idd].[All]" allUniqueName="[Intervalo].[idd].[All]" dimensionUniqueName="[Intervalo]" displayFolder="" count="0" memberValueDatatype="20" unbalanced="0"/>
    <cacheHierarchy uniqueName="[Intervalo].[sexo]" caption="sexo" attribute="1" defaultMemberUniqueName="[Intervalo].[sexo].[All]" allUniqueName="[Intervalo].[sexo].[All]" dimensionUniqueName="[Intervalo]" displayFolder="" count="0" memberValueDatatype="130" unbalanced="0"/>
    <cacheHierarchy uniqueName="[Intervalo].[escolaridade]" caption="escolaridade" attribute="1" defaultMemberUniqueName="[Intervalo].[escolaridade].[All]" allUniqueName="[Intervalo].[escolaridade].[All]" dimensionUniqueName="[Intervalo]" displayFolder="" count="0" memberValueDatatype="130" unbalanced="0"/>
    <cacheHierarchy uniqueName="[Intervalo].[maus]" caption="maus" attribute="1" defaultMemberUniqueName="[Intervalo].[maus].[All]" allUniqueName="[Intervalo].[maus].[All]" dimensionUniqueName="[Intervalo]" displayFolder="" count="0" memberValueDatatype="20" unbalanced="0"/>
    <cacheHierarchy uniqueName="[Intervalo].[bons]" caption="bons" attribute="1" defaultMemberUniqueName="[Intervalo].[bons].[All]" allUniqueName="[Intervalo].[bons].[All]" dimensionUniqueName="[Intervalo]" displayFolder="" count="0" memberValueDatatype="20" unbalanced="0"/>
    <cacheHierarchy uniqueName="[Intervalo].[tempo]" caption="tempo" attribute="1" defaultMemberUniqueName="[Intervalo].[tempo].[All]" allUniqueName="[Intervalo].[tempo].[All]" dimensionUniqueName="[Intervalo]" displayFolder="" count="0" memberValueDatatype="20" unbalanced="0"/>
    <cacheHierarchy uniqueName="[Intervalo].[vida]" caption="vida" attribute="1" defaultMemberUniqueName="[Intervalo].[vida].[All]" allUniqueName="[Intervalo].[vida].[All]" dimensionUniqueName="[Intervalo]" displayFolder="" count="0" memberValueDatatype="20" unbalanced="0"/>
    <cacheHierarchy uniqueName="[Intervalo].[nivel]" caption="nivel" attribute="1" defaultMemberUniqueName="[Intervalo].[nivel].[All]" allUniqueName="[Intervalo].[nivel].[All]" dimensionUniqueName="[Intervalo]" displayFolder="" count="0" memberValueDatatype="20" unbalanced="0"/>
    <cacheHierarchy uniqueName="[Intervalo].[pontos]" caption="pontos" attribute="1" defaultMemberUniqueName="[Intervalo].[pontos].[All]" allUniqueName="[Intervalo].[pontos].[All]" dimensionUniqueName="[Intervalo]" displayFolder="" count="0" memberValueDatatype="20" unbalanced="0"/>
    <cacheHierarchy uniqueName="[Intervalo].[insist]" caption="insist" attribute="1" defaultMemberUniqueName="[Intervalo].[insist].[All]" allUniqueName="[Intervalo].[insist].[All]" dimensionUniqueName="[Intervalo]" displayFolder="" count="0" memberValueDatatype="20" unbalanced="0"/>
    <cacheHierarchy uniqueName="[Intervalo].[final]" caption="final" attribute="1" defaultMemberUniqueName="[Intervalo].[final].[All]" allUniqueName="[Intervalo].[final].[All]" dimensionUniqueName="[Intervalo]" displayFolder="" count="0" memberValueDatatype="130" unbalanced="0"/>
    <cacheHierarchy uniqueName="[Intervalo].[vidasGastas]" caption="vidasGastas" attribute="1" defaultMemberUniqueName="[Intervalo].[vidasGastas].[All]" allUniqueName="[Intervalo].[vidasGastas].[All]" dimensionUniqueName="[Intervalo]" displayFolder="" count="0" memberValueDatatype="20" unbalanced="0"/>
    <cacheHierarchy uniqueName="[Intervalo1].[Jogador]" caption="Jogador" attribute="1" time="1" defaultMemberUniqueName="[Intervalo1].[Jogador].[All]" allUniqueName="[Intervalo1].[Jogador].[All]" dimensionUniqueName="[Intervalo1]" displayFolder="" count="2" memberValueDatatype="7" unbalanced="0">
      <fieldsUsage count="2">
        <fieldUsage x="-1"/>
        <fieldUsage x="1"/>
      </fieldsUsage>
    </cacheHierarchy>
    <cacheHierarchy uniqueName="[Intervalo1].[idd]" caption="idd" attribute="1" defaultMemberUniqueName="[Intervalo1].[idd].[All]" allUniqueName="[Intervalo1].[idd].[All]" dimensionUniqueName="[Intervalo1]" displayFolder="" count="0" memberValueDatatype="20" unbalanced="0"/>
    <cacheHierarchy uniqueName="[Intervalo1].[sexo]" caption="sexo" attribute="1" defaultMemberUniqueName="[Intervalo1].[sexo].[All]" allUniqueName="[Intervalo1].[sexo].[All]" dimensionUniqueName="[Intervalo1]" displayFolder="" count="0" memberValueDatatype="130" unbalanced="0"/>
    <cacheHierarchy uniqueName="[Intervalo1].[escolaridade]" caption="escolaridade" attribute="1" defaultMemberUniqueName="[Intervalo1].[escolaridade].[All]" allUniqueName="[Intervalo1].[escolaridade].[All]" dimensionUniqueName="[Intervalo1]" displayFolder="" count="0" memberValueDatatype="130" unbalanced="0"/>
    <cacheHierarchy uniqueName="[Intervalo1].[maus]" caption="maus" attribute="1" defaultMemberUniqueName="[Intervalo1].[maus].[All]" allUniqueName="[Intervalo1].[maus].[All]" dimensionUniqueName="[Intervalo1]" displayFolder="" count="0" memberValueDatatype="20" unbalanced="0"/>
    <cacheHierarchy uniqueName="[Intervalo1].[bons]" caption="bons" attribute="1" defaultMemberUniqueName="[Intervalo1].[bons].[All]" allUniqueName="[Intervalo1].[bons].[All]" dimensionUniqueName="[Intervalo1]" displayFolder="" count="0" memberValueDatatype="20" unbalanced="0"/>
    <cacheHierarchy uniqueName="[Intervalo1].[tempo]" caption="tempo" attribute="1" defaultMemberUniqueName="[Intervalo1].[tempo].[All]" allUniqueName="[Intervalo1].[tempo].[All]" dimensionUniqueName="[Intervalo1]" displayFolder="" count="0" memberValueDatatype="20" unbalanced="0"/>
    <cacheHierarchy uniqueName="[Intervalo1].[vida]" caption="vida" attribute="1" defaultMemberUniqueName="[Intervalo1].[vida].[All]" allUniqueName="[Intervalo1].[vida].[All]" dimensionUniqueName="[Intervalo1]" displayFolder="" count="0" memberValueDatatype="20" unbalanced="0"/>
    <cacheHierarchy uniqueName="[Intervalo1].[nivel]" caption="nivel" attribute="1" defaultMemberUniqueName="[Intervalo1].[nivel].[All]" allUniqueName="[Intervalo1].[nivel].[All]" dimensionUniqueName="[Intervalo1]" displayFolder="" count="2" memberValueDatatype="20" unbalanced="0">
      <fieldsUsage count="2">
        <fieldUsage x="-1"/>
        <fieldUsage x="0"/>
      </fieldsUsage>
    </cacheHierarchy>
    <cacheHierarchy uniqueName="[Intervalo1].[pontos]" caption="pontos" attribute="1" defaultMemberUniqueName="[Intervalo1].[pontos].[All]" allUniqueName="[Intervalo1].[pontos].[All]" dimensionUniqueName="[Intervalo1]" displayFolder="" count="0" memberValueDatatype="20" unbalanced="0"/>
    <cacheHierarchy uniqueName="[Intervalo1].[insist]" caption="insist" attribute="1" defaultMemberUniqueName="[Intervalo1].[insist].[All]" allUniqueName="[Intervalo1].[insist].[All]" dimensionUniqueName="[Intervalo1]" displayFolder="" count="0" memberValueDatatype="20" unbalanced="0"/>
    <cacheHierarchy uniqueName="[Intervalo1].[final]" caption="final" attribute="1" defaultMemberUniqueName="[Intervalo1].[final].[All]" allUniqueName="[Intervalo1].[final].[All]" dimensionUniqueName="[Intervalo1]" displayFolder="" count="0" memberValueDatatype="130" unbalanced="0"/>
    <cacheHierarchy uniqueName="[Intervalo1].[vidasGastas]" caption="vidasGastas" attribute="1" defaultMemberUniqueName="[Intervalo1].[vidasGastas].[All]" allUniqueName="[Intervalo1].[vidasGastas].[All]" dimensionUniqueName="[Intervalo1]" displayFolder="" count="0" memberValueDatatype="20" unbalanced="0"/>
    <cacheHierarchy uniqueName="[Intervalo1].[media]" caption="media" attribute="1" defaultMemberUniqueName="[Intervalo1].[media].[All]" allUniqueName="[Intervalo1].[media].[All]" dimensionUniqueName="[Intervalo1]" displayFolder="" count="0" memberValueDatatype="5" unbalanced="0"/>
    <cacheHierarchy uniqueName="[Measures].[Soma de media]" caption="Soma de media" measure="1" displayFolder="" measureGroup="Intervalo1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a de nivel]" caption="Soma de nivel" measure="1" displayFolder="" measureGroup="Intervalo1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ontos]" caption="Soma de pontos" measure="1" displayFolder="" measureGroup="Intervalo1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Média de pontos]" caption="Média de pontos" measure="1" displayFolder="" measureGroup="Intervalo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__XL_Count Intervalo]" caption="__XL_Count Intervalo" measure="1" displayFolder="" measureGroup="Intervalo" count="0" hidden="1"/>
    <cacheHierarchy uniqueName="[Measures].[__XL_Count Intervalo1]" caption="__XL_Count Intervalo1" measure="1" displayFolder="" measureGroup="Intervalo1" count="0" hidden="1"/>
    <cacheHierarchy uniqueName="[Measures].[__XL_Count of Models]" caption="__XL_Count of Models" measure="1" displayFolder="" count="0" hidden="1"/>
  </cacheHierarchies>
  <kpis count="0"/>
  <dimensions count="3">
    <dimension name="Intervalo" uniqueName="[Intervalo]" caption="Intervalo"/>
    <dimension name="Intervalo1" uniqueName="[Intervalo1]" caption="Intervalo1"/>
    <dimension measure="1" name="Measures" uniqueName="[Measures]" caption="Measures"/>
  </dimensions>
  <measureGroups count="2">
    <measureGroup name="Intervalo" caption="Intervalo"/>
    <measureGroup name="Intervalo1" caption="Intervalo1"/>
  </measureGroups>
  <maps count="2">
    <map measureGroup="0" dimension="0"/>
    <map measureGroup="1" dimension="1"/>
  </maps>
  <extLst>
    <ext xmlns:x14="http://schemas.microsoft.com/office/spreadsheetml/2009/9/main" uri="{725AE2AE-9491-48be-B2B4-4EB974FC3084}">
      <x14:pivotCacheDefinition pivotCacheId="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x v="0"/>
    <x v="0"/>
    <x v="0"/>
    <s v=" Terceiro Ano"/>
    <x v="0"/>
    <x v="0"/>
    <x v="0"/>
    <n v="3"/>
    <x v="0"/>
    <x v="0"/>
    <n v="0"/>
    <s v=" Nao"/>
    <n v="0"/>
  </r>
  <r>
    <x v="0"/>
    <x v="0"/>
    <x v="0"/>
    <s v=" Terceiro Ano"/>
    <x v="0"/>
    <x v="0"/>
    <x v="1"/>
    <n v="2"/>
    <x v="1"/>
    <x v="1"/>
    <n v="0"/>
    <s v=" Nao"/>
    <n v="1"/>
  </r>
  <r>
    <x v="0"/>
    <x v="0"/>
    <x v="0"/>
    <s v=" Terceiro Ano"/>
    <x v="1"/>
    <x v="1"/>
    <x v="2"/>
    <n v="2"/>
    <x v="2"/>
    <x v="2"/>
    <n v="3"/>
    <s v=" Nao"/>
    <n v="1"/>
  </r>
  <r>
    <x v="0"/>
    <x v="0"/>
    <x v="0"/>
    <s v=" Terceiro Ano"/>
    <x v="1"/>
    <x v="2"/>
    <x v="3"/>
    <n v="2"/>
    <x v="3"/>
    <x v="3"/>
    <n v="3"/>
    <s v=" Nao"/>
    <n v="1"/>
  </r>
  <r>
    <x v="0"/>
    <x v="0"/>
    <x v="0"/>
    <s v=" Terceiro Ano"/>
    <x v="2"/>
    <x v="3"/>
    <x v="4"/>
    <n v="2"/>
    <x v="4"/>
    <x v="4"/>
    <n v="2"/>
    <s v=" Nao"/>
    <n v="1"/>
  </r>
  <r>
    <x v="0"/>
    <x v="0"/>
    <x v="0"/>
    <s v=" Terceiro Ano"/>
    <x v="2"/>
    <x v="4"/>
    <x v="5"/>
    <n v="2"/>
    <x v="5"/>
    <x v="5"/>
    <n v="6"/>
    <s v=" Sim"/>
    <n v="1"/>
  </r>
  <r>
    <x v="1"/>
    <x v="1"/>
    <x v="1"/>
    <s v=" Pre-Primaria"/>
    <x v="0"/>
    <x v="0"/>
    <x v="6"/>
    <n v="3"/>
    <x v="0"/>
    <x v="0"/>
    <n v="0"/>
    <s v=" Nao"/>
    <n v="0"/>
  </r>
  <r>
    <x v="1"/>
    <x v="1"/>
    <x v="1"/>
    <s v=" Pre-Primaria"/>
    <x v="1"/>
    <x v="0"/>
    <x v="7"/>
    <n v="3"/>
    <x v="1"/>
    <x v="6"/>
    <n v="0"/>
    <s v=" Nao"/>
    <n v="0"/>
  </r>
  <r>
    <x v="1"/>
    <x v="1"/>
    <x v="1"/>
    <s v=" Pre-Primaria"/>
    <x v="1"/>
    <x v="1"/>
    <x v="8"/>
    <n v="3"/>
    <x v="2"/>
    <x v="7"/>
    <n v="1"/>
    <s v=" Nao"/>
    <n v="0"/>
  </r>
  <r>
    <x v="1"/>
    <x v="1"/>
    <x v="1"/>
    <s v=" Pre-Primaria"/>
    <x v="1"/>
    <x v="2"/>
    <x v="9"/>
    <n v="3"/>
    <x v="3"/>
    <x v="8"/>
    <n v="1"/>
    <s v=" Nao"/>
    <n v="0"/>
  </r>
  <r>
    <x v="1"/>
    <x v="1"/>
    <x v="1"/>
    <s v=" Pre-Primaria"/>
    <x v="1"/>
    <x v="3"/>
    <x v="10"/>
    <n v="3"/>
    <x v="4"/>
    <x v="9"/>
    <n v="0"/>
    <s v=" Nao"/>
    <n v="0"/>
  </r>
  <r>
    <x v="1"/>
    <x v="1"/>
    <x v="1"/>
    <s v=" Pre-Primaria"/>
    <x v="1"/>
    <x v="4"/>
    <x v="5"/>
    <n v="3"/>
    <x v="5"/>
    <x v="10"/>
    <n v="3"/>
    <s v=" Sim"/>
    <n v="0"/>
  </r>
  <r>
    <x v="2"/>
    <x v="2"/>
    <x v="1"/>
    <s v=" Quarto Ano"/>
    <x v="1"/>
    <x v="0"/>
    <x v="11"/>
    <n v="3"/>
    <x v="0"/>
    <x v="11"/>
    <n v="0"/>
    <s v=" Nao"/>
    <n v="0"/>
  </r>
  <r>
    <x v="2"/>
    <x v="2"/>
    <x v="1"/>
    <s v=" Quarto Ano"/>
    <x v="0"/>
    <x v="0"/>
    <x v="12"/>
    <n v="3"/>
    <x v="1"/>
    <x v="6"/>
    <n v="0"/>
    <s v=" Nao"/>
    <n v="0"/>
  </r>
  <r>
    <x v="2"/>
    <x v="2"/>
    <x v="1"/>
    <s v=" Quarto Ano"/>
    <x v="0"/>
    <x v="1"/>
    <x v="8"/>
    <n v="3"/>
    <x v="2"/>
    <x v="2"/>
    <n v="0"/>
    <s v=" Nao"/>
    <n v="0"/>
  </r>
  <r>
    <x v="2"/>
    <x v="2"/>
    <x v="1"/>
    <s v=" Quarto Ano"/>
    <x v="1"/>
    <x v="2"/>
    <x v="13"/>
    <n v="3"/>
    <x v="3"/>
    <x v="3"/>
    <n v="0"/>
    <s v=" Nao"/>
    <n v="0"/>
  </r>
  <r>
    <x v="2"/>
    <x v="2"/>
    <x v="1"/>
    <s v=" Quarto Ano"/>
    <x v="1"/>
    <x v="3"/>
    <x v="4"/>
    <n v="3"/>
    <x v="4"/>
    <x v="12"/>
    <n v="0"/>
    <s v=" Nao"/>
    <n v="0"/>
  </r>
  <r>
    <x v="2"/>
    <x v="2"/>
    <x v="1"/>
    <s v=" Quarto Ano"/>
    <x v="1"/>
    <x v="4"/>
    <x v="5"/>
    <n v="3"/>
    <x v="5"/>
    <x v="13"/>
    <n v="0"/>
    <s v=" Sim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">
  <r>
    <x v="0"/>
    <n v="8"/>
    <s v=" Feminino"/>
    <s v=" Terceiro Ano"/>
    <n v="1"/>
    <n v="3"/>
    <n v="17"/>
    <n v="3"/>
    <x v="0"/>
    <n v="25"/>
    <n v="0"/>
    <s v=" Nao"/>
    <n v="0"/>
    <n v="196.11111111111111"/>
  </r>
  <r>
    <x v="0"/>
    <n v="8"/>
    <s v=" Feminino"/>
    <s v=" Terceiro Ano"/>
    <n v="1"/>
    <n v="3"/>
    <n v="24"/>
    <n v="2"/>
    <x v="1"/>
    <n v="50"/>
    <n v="0"/>
    <s v=" Nao"/>
    <n v="1"/>
    <n v="196.11111111111111"/>
  </r>
  <r>
    <x v="0"/>
    <n v="8"/>
    <s v=" Feminino"/>
    <s v=" Terceiro Ano"/>
    <n v="0"/>
    <n v="6"/>
    <n v="47"/>
    <n v="2"/>
    <x v="2"/>
    <n v="110"/>
    <n v="3"/>
    <s v=" Nao"/>
    <n v="1"/>
    <n v="196.11111111111111"/>
  </r>
  <r>
    <x v="0"/>
    <n v="8"/>
    <s v=" Feminino"/>
    <s v=" Terceiro Ano"/>
    <n v="0"/>
    <n v="9"/>
    <n v="71"/>
    <n v="2"/>
    <x v="3"/>
    <n v="200"/>
    <n v="3"/>
    <s v=" Nao"/>
    <n v="1"/>
    <n v="196.11111111111111"/>
  </r>
  <r>
    <x v="0"/>
    <n v="8"/>
    <s v=" Feminino"/>
    <s v=" Terceiro Ano"/>
    <n v="2"/>
    <n v="12"/>
    <n v="100"/>
    <n v="2"/>
    <x v="4"/>
    <n v="310"/>
    <n v="2"/>
    <s v=" Nao"/>
    <n v="1"/>
    <n v="196.11111111111111"/>
  </r>
  <r>
    <x v="0"/>
    <n v="8"/>
    <s v=" Feminino"/>
    <s v=" Terceiro Ano"/>
    <n v="2"/>
    <n v="15"/>
    <n v="120"/>
    <n v="2"/>
    <x v="5"/>
    <n v="450"/>
    <n v="6"/>
    <s v=" Sim"/>
    <n v="1"/>
    <n v="196.11111111111111"/>
  </r>
  <r>
    <x v="1"/>
    <n v="6"/>
    <s v=" Masculino"/>
    <s v=" Pre-Primaria"/>
    <n v="1"/>
    <n v="3"/>
    <n v="14"/>
    <n v="3"/>
    <x v="0"/>
    <n v="25"/>
    <n v="0"/>
    <s v=" Nao"/>
    <n v="0"/>
    <n v="196.11111111111111"/>
  </r>
  <r>
    <x v="1"/>
    <n v="6"/>
    <s v=" Masculino"/>
    <s v=" Pre-Primaria"/>
    <n v="0"/>
    <n v="3"/>
    <n v="18"/>
    <n v="3"/>
    <x v="1"/>
    <n v="55"/>
    <n v="0"/>
    <s v=" Nao"/>
    <n v="0"/>
    <n v="196.11111111111111"/>
  </r>
  <r>
    <x v="1"/>
    <n v="6"/>
    <s v=" Masculino"/>
    <s v=" Pre-Primaria"/>
    <n v="0"/>
    <n v="6"/>
    <n v="40"/>
    <n v="3"/>
    <x v="2"/>
    <n v="115"/>
    <n v="1"/>
    <s v=" Nao"/>
    <n v="0"/>
    <n v="196.11111111111111"/>
  </r>
  <r>
    <x v="1"/>
    <n v="6"/>
    <s v=" Masculino"/>
    <s v=" Pre-Primaria"/>
    <n v="0"/>
    <n v="9"/>
    <n v="60"/>
    <n v="3"/>
    <x v="3"/>
    <n v="205"/>
    <n v="1"/>
    <s v=" Nao"/>
    <n v="0"/>
    <n v="196.11111111111111"/>
  </r>
  <r>
    <x v="1"/>
    <n v="6"/>
    <s v=" Masculino"/>
    <s v=" Pre-Primaria"/>
    <n v="0"/>
    <n v="12"/>
    <n v="101"/>
    <n v="3"/>
    <x v="4"/>
    <n v="325"/>
    <n v="0"/>
    <s v=" Nao"/>
    <n v="0"/>
    <n v="196.11111111111111"/>
  </r>
  <r>
    <x v="1"/>
    <n v="6"/>
    <s v=" Masculino"/>
    <s v=" Pre-Primaria"/>
    <n v="0"/>
    <n v="15"/>
    <n v="120"/>
    <n v="3"/>
    <x v="5"/>
    <n v="475"/>
    <n v="3"/>
    <s v=" Sim"/>
    <n v="0"/>
    <n v="196.11111111111111"/>
  </r>
  <r>
    <x v="2"/>
    <n v="9"/>
    <s v=" Masculino"/>
    <s v=" Quarto Ano"/>
    <n v="0"/>
    <n v="3"/>
    <n v="9"/>
    <n v="3"/>
    <x v="0"/>
    <n v="30"/>
    <n v="0"/>
    <s v=" Nao"/>
    <n v="0"/>
    <n v="196.11111111111111"/>
  </r>
  <r>
    <x v="2"/>
    <n v="9"/>
    <s v=" Masculino"/>
    <s v=" Quarto Ano"/>
    <n v="1"/>
    <n v="3"/>
    <n v="22"/>
    <n v="3"/>
    <x v="1"/>
    <n v="55"/>
    <n v="0"/>
    <s v=" Nao"/>
    <n v="0"/>
    <n v="196.11111111111111"/>
  </r>
  <r>
    <x v="2"/>
    <n v="9"/>
    <s v=" Masculino"/>
    <s v=" Quarto Ano"/>
    <n v="1"/>
    <n v="6"/>
    <n v="40"/>
    <n v="3"/>
    <x v="2"/>
    <n v="110"/>
    <n v="0"/>
    <s v=" Nao"/>
    <n v="0"/>
    <n v="196.11111111111111"/>
  </r>
  <r>
    <x v="2"/>
    <n v="9"/>
    <s v=" Masculino"/>
    <s v=" Quarto Ano"/>
    <n v="0"/>
    <n v="9"/>
    <n v="59"/>
    <n v="3"/>
    <x v="3"/>
    <n v="200"/>
    <n v="0"/>
    <s v=" Nao"/>
    <n v="0"/>
    <n v="196.11111111111111"/>
  </r>
  <r>
    <x v="2"/>
    <n v="9"/>
    <s v=" Masculino"/>
    <s v=" Quarto Ano"/>
    <n v="0"/>
    <n v="12"/>
    <n v="100"/>
    <n v="3"/>
    <x v="4"/>
    <n v="320"/>
    <n v="0"/>
    <s v=" Nao"/>
    <n v="0"/>
    <n v="196.11111111111111"/>
  </r>
  <r>
    <x v="2"/>
    <n v="9"/>
    <s v=" Masculino"/>
    <s v=" Quarto Ano"/>
    <n v="0"/>
    <n v="15"/>
    <n v="120"/>
    <n v="3"/>
    <x v="5"/>
    <n v="470"/>
    <n v="0"/>
    <s v=" Sim"/>
    <n v="0"/>
    <n v="196.1111111111111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">
  <r>
    <x v="0"/>
    <n v="25"/>
    <n v="50"/>
    <n v="110"/>
    <n v="200"/>
    <n v="310"/>
    <n v="450"/>
  </r>
  <r>
    <x v="1"/>
    <n v="25"/>
    <n v="55"/>
    <n v="115"/>
    <n v="205"/>
    <n v="325"/>
    <n v="475"/>
  </r>
  <r>
    <x v="2"/>
    <n v="30"/>
    <n v="55"/>
    <n v="110"/>
    <n v="200"/>
    <n v="320"/>
    <n v="470"/>
  </r>
  <r>
    <x v="3"/>
    <n v="26.666666666666668"/>
    <n v="53.333333333333336"/>
    <n v="111.66666666666667"/>
    <n v="201.66666666666666"/>
    <n v="318.33333333333331"/>
    <n v="46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">
  <r>
    <x v="0"/>
    <n v="30"/>
    <n v="55"/>
    <n v="110"/>
    <n v="200"/>
    <n v="320"/>
    <n v="470"/>
  </r>
  <r>
    <x v="1"/>
    <n v="25"/>
    <n v="55"/>
    <n v="115"/>
    <n v="205"/>
    <n v="325"/>
    <n v="475"/>
  </r>
  <r>
    <x v="2"/>
    <n v="25"/>
    <n v="50"/>
    <n v="110"/>
    <n v="200"/>
    <n v="310"/>
    <n v="450"/>
  </r>
  <r>
    <x v="3"/>
    <n v="26.25"/>
    <n v="52.5"/>
    <n v="111.25"/>
    <n v="201.25"/>
    <n v="316.25"/>
    <n v="461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ChartTable1" cacheId="2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" firstHeaderRow="1" firstDataRow="1" firstDataCol="1"/>
  <pivotFields count="3"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llDrilled="1" showAll="0" dataSourceSort="1" defaultAttributeDrillState="1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pontos" fld="2" baseField="0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Intervalo1].[Jogador].&amp;[2015-12-01T11:32:4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3">
        <x15:pivotRow count="1">
          <x15:c>
            <x15:v>25</x15:v>
          </x15:c>
        </x15:pivotRow>
        <x15:pivotRow count="1">
          <x15:c>
            <x15:v>50</x15:v>
          </x15:c>
        </x15:pivotRow>
        <x15:pivotRow count="1">
          <x15:c>
            <x15:v>110</x15:v>
          </x15:c>
        </x15:pivotRow>
        <x15:pivotRow count="1">
          <x15:c>
            <x15:v>200</x15:v>
          </x15:c>
        </x15:pivotRow>
        <x15:pivotRow count="1">
          <x15:c>
            <x15:v>310</x15:v>
          </x15:c>
        </x15:pivotRow>
        <x15:pivotRow count="1">
          <x15:c>
            <x15:v>450</x15:v>
          </x15:c>
        </x15:pivotRow>
        <x15:pivotRow count="1">
          <x15:c>
            <x15:v>1145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Folha1!$A$1:$N$19">
        <x15:activeTabTopLevelEntity name="[Intervalo1]"/>
      </x15:pivotTableUISettings>
    </ext>
  </extLst>
</pivotTableDefinition>
</file>

<file path=xl/pivotTables/pivotTable2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0">
  <location ref="A3:C11" firstHeaderRow="1" firstDataRow="2" firstDataCol="1"/>
  <pivotFields count="15">
    <pivotField axis="axisCol" numFmtId="22" multipleItemSelectionAllowed="1" showAll="0" sumSubtotal="1">
      <items count="4">
        <item h="1" x="0"/>
        <item h="1" x="1"/>
        <item x="2"/>
        <item t="sum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>
      <items count="15">
        <item x="0"/>
        <item x="11"/>
        <item x="1"/>
        <item x="6"/>
        <item x="2"/>
        <item x="7"/>
        <item x="3"/>
        <item x="8"/>
        <item x="4"/>
        <item x="12"/>
        <item x="9"/>
        <item x="5"/>
        <item x="13"/>
        <item x="10"/>
        <item t="default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2">
    <i>
      <x v="2"/>
    </i>
    <i t="grand">
      <x/>
    </i>
  </colItems>
  <dataFields count="1">
    <dataField name="Soma de pontos" fld="9" baseField="0" baseItem="0"/>
  </dataFields>
  <chartFormats count="1"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5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5" firstHeaderRow="0" firstDataRow="1" firstDataCol="1"/>
  <pivotFields count="15">
    <pivotField numFmtId="22" showAll="0"/>
    <pivotField axis="axisRow" showAll="0">
      <items count="4">
        <item x="1"/>
        <item x="0"/>
        <item x="2"/>
        <item t="default"/>
      </items>
    </pivotField>
    <pivotField showAll="0">
      <items count="3">
        <item x="0"/>
        <item x="1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4" firstHeaderRow="0" firstDataRow="1" firstDataCol="1"/>
  <pivotFields count="15">
    <pivotField numFmtId="22" showAll="0"/>
    <pivotField showAll="0"/>
    <pivotField axis="axisRow" showAll="0">
      <items count="3">
        <item x="0"/>
        <item x="1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3:C28" firstHeaderRow="0" firstDataRow="1" firstDataCol="1"/>
  <pivotFields count="15">
    <pivotField axis="axisRow" numFmtId="22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>
      <items count="4">
        <item x="1"/>
        <item x="0"/>
        <item x="2"/>
        <item t="default"/>
      </items>
    </pivotField>
    <pivotField dataField="1" showAll="0">
      <items count="6">
        <item x="0"/>
        <item x="1"/>
        <item x="2"/>
        <item x="3"/>
        <item x="4"/>
        <item t="default"/>
      </items>
    </pivotField>
    <pivotField showAll="0">
      <items count="15">
        <item x="11"/>
        <item x="6"/>
        <item x="0"/>
        <item x="7"/>
        <item x="12"/>
        <item x="1"/>
        <item x="8"/>
        <item x="2"/>
        <item x="13"/>
        <item x="9"/>
        <item x="3"/>
        <item x="4"/>
        <item x="10"/>
        <item x="5"/>
        <item t="default"/>
      </items>
    </pivotField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2">
    <field x="8"/>
    <field x="0"/>
  </rowFields>
  <rowItems count="25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">
  <location ref="A3:B28" firstHeaderRow="1" firstDataRow="1" firstDataCol="1"/>
  <pivotFields count="15">
    <pivotField axis="axisRow" numFmtId="22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dragToRow="0" dragToCol="0" dragToPage="0" showAll="0" defaultSubtotal="0"/>
    <pivotField dragToRow="0" dragToCol="0" dragToPage="0" showAll="0" defaultSubtotal="0"/>
  </pivotFields>
  <rowFields count="2">
    <field x="8"/>
    <field x="0"/>
  </rowFields>
  <rowItems count="25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 t="grand">
      <x/>
    </i>
  </rowItems>
  <colItems count="1">
    <i/>
  </colItems>
  <dataFields count="1">
    <dataField name="Soma de vidasGastas" fld="1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7">
  <location ref="A3:B7" firstHeaderRow="1" firstDataRow="1" firstDataCol="1"/>
  <pivotFields count="15">
    <pivotField numFmtId="22"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insist" fld="1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2">
  <location ref="A1:B14" firstHeaderRow="1" firstDataRow="1" firstDataCol="1"/>
  <pivotFields count="15">
    <pivotField axis="axisRow" numFmtId="22"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2">
    <field x="8"/>
    <field x="0"/>
  </rowFields>
  <rowItems count="13">
    <i>
      <x/>
    </i>
    <i r="1">
      <x v="2"/>
    </i>
    <i>
      <x v="1"/>
    </i>
    <i r="1">
      <x v="2"/>
    </i>
    <i>
      <x v="2"/>
    </i>
    <i r="1">
      <x v="2"/>
    </i>
    <i>
      <x v="3"/>
    </i>
    <i r="1">
      <x v="2"/>
    </i>
    <i>
      <x v="4"/>
    </i>
    <i r="1">
      <x v="2"/>
    </i>
    <i>
      <x v="5"/>
    </i>
    <i r="1">
      <x v="2"/>
    </i>
    <i t="grand">
      <x/>
    </i>
  </rowItems>
  <colItems count="1">
    <i/>
  </colItems>
  <dataFields count="1">
    <dataField name="Soma de pontos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ela dinâmica2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8" firstHeaderRow="0" firstDataRow="1" firstDataCol="1"/>
  <pivotFields count="14">
    <pivotField numFmtId="22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showAll="0"/>
    <pivotField showAll="0"/>
    <pivotField dataField="1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edia" fld="13" baseField="8" baseItem="0"/>
    <dataField name="Soma de pontos" fld="9" baseField="0" baseItem="0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ela dinâmica3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3:B10" firstHeaderRow="1" firstDataRow="1" firstDataCol="1"/>
  <pivotFields count="14">
    <pivotField numFmtId="22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media" fld="13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3">
  <location ref="A3:E11" firstHeaderRow="1" firstDataRow="2" firstDataCol="1"/>
  <pivotFields count="15">
    <pivotField axis="axisCol" numFmtId="22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>
      <items count="15">
        <item x="0"/>
        <item x="11"/>
        <item x="1"/>
        <item x="6"/>
        <item x="2"/>
        <item x="7"/>
        <item x="3"/>
        <item x="8"/>
        <item x="4"/>
        <item x="12"/>
        <item x="9"/>
        <item x="5"/>
        <item x="13"/>
        <item x="10"/>
        <item t="default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Soma de pontos" fld="9" baseField="0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Tabela dinâmica2" cacheId="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6">
  <location ref="A3:G8" firstHeaderRow="0" firstDataRow="1" firstDataCol="1"/>
  <pivotFields count="7">
    <pivotField axis="axisRow" showAll="0">
      <items count="5">
        <item x="3"/>
        <item x="0"/>
        <item x="1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oma de 0" fld="1" baseField="0" baseItem="0"/>
    <dataField name="Soma de 1" fld="2" baseField="0" baseItem="0"/>
    <dataField name="Soma de 2" fld="3" baseField="0" baseItem="0"/>
    <dataField name="Soma de 3" fld="4" baseField="0" baseItem="0"/>
    <dataField name="Soma de 4" fld="5" baseField="0" baseItem="0"/>
    <dataField name="Soma de 5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3.xml><?xml version="1.0" encoding="utf-8"?>
<pivotTableDefinition xmlns="http://schemas.openxmlformats.org/spreadsheetml/2006/main" name="Tabela dinâmica1" cacheId="7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B4" firstHeaderRow="0" firstDataRow="1" firstDataCol="0"/>
  <pivotFields count="7">
    <pivotField showAll="0">
      <items count="5">
        <item x="2"/>
        <item x="1"/>
        <item x="0"/>
        <item x="3"/>
        <item t="default"/>
      </items>
    </pivotField>
    <pivotField dataField="1" showAll="0"/>
    <pivotField dataField="1" showAll="0"/>
    <pivotField showAll="0"/>
    <pivotField showAll="0"/>
    <pivotField showAll="0"/>
    <pivotField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a de 0" fld="1" baseField="0" baseItem="0"/>
    <dataField name="Soma de 1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ta" connectionId="1" autoFormatId="16" applyNumberFormats="0" applyBorderFormats="0" applyFontFormats="0" applyPatternFormats="0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" sourceName="Jogador">
  <pivotTables>
    <pivotTable tabId="7" name="Tabela dinâmica6"/>
  </pivotTables>
  <data>
    <tabular pivotCacheId="1">
      <items count="3">
        <i x="0"/>
        <i x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1" sourceName="Jogador">
  <pivotTables>
    <pivotTable tabId="11" name="Tabela dinâmica2"/>
  </pivotTables>
  <data>
    <tabular pivotCacheId="2">
      <items count="3">
        <i x="0" s="1"/>
        <i x="1"/>
        <i x="2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2" sourceName="[Intervalo1].[Jogador]">
  <data>
    <olap pivotCacheId="4">
      <levels count="2">
        <level uniqueName="[Intervalo1].[Jogador].[(All)]" sourceCaption="(All)" count="0"/>
        <level uniqueName="[Intervalo1].[Jogador].[Jogador]" sourceCaption="Jogador" count="3">
          <ranges>
            <range startItem="0">
              <i n="[Intervalo1].[Jogador].&amp;[2015-12-01T11:32:43]" c="01/12/2015 11:32"/>
              <i n="[Intervalo1].[Jogador].&amp;[2015-12-01T11:41:06]" c="01/12/2015 11:41"/>
              <i n="[Intervalo1].[Jogador].&amp;[2015-12-01T11:48:49]" c="01/12/2015 11:48"/>
            </range>
          </ranges>
        </level>
      </levels>
      <selections count="1">
        <selection n="[Intervalo1].[Jogador].&amp;[2015-12-01T11:32:43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3" sourceName="Jogador">
  <pivotTables>
    <pivotTable tabId="15" name="Tabela dinâmica1"/>
  </pivotTables>
  <data>
    <tabular pivotCacheId="1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" cache="SegmentaçãoDeDados_Jogador" caption="Jogador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 1" cache="SegmentaçãoDeDados_Jogador1" caption="Jogador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 2" cache="SegmentaçãoDeDados_Jogador2" caption="Jogador" level="1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 3" cache="SegmentaçãoDeDados_Jogador3" caption="Jogador" rowHeight="23495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8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0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3:C11"/>
  <sheetViews>
    <sheetView workbookViewId="0">
      <selection activeCell="D9" sqref="D8:D9"/>
    </sheetView>
  </sheetViews>
  <sheetFormatPr defaultRowHeight="14.4" x14ac:dyDescent="0.3"/>
  <cols>
    <col min="1" max="1" width="18" customWidth="1"/>
    <col min="2" max="2" width="19.5546875" customWidth="1"/>
    <col min="3" max="3" width="10.6640625" customWidth="1"/>
    <col min="4" max="4" width="20.33203125" customWidth="1"/>
    <col min="5" max="5" width="21.44140625" bestFit="1" customWidth="1"/>
  </cols>
  <sheetData>
    <row r="3" spans="1:3" x14ac:dyDescent="0.3">
      <c r="A3" s="4" t="s">
        <v>27</v>
      </c>
      <c r="B3" s="4" t="s">
        <v>26</v>
      </c>
    </row>
    <row r="4" spans="1:3" x14ac:dyDescent="0.3">
      <c r="A4" s="4" t="s">
        <v>21</v>
      </c>
      <c r="B4" s="2">
        <v>42339.4922337963</v>
      </c>
      <c r="C4" s="2" t="s">
        <v>22</v>
      </c>
    </row>
    <row r="5" spans="1:3" x14ac:dyDescent="0.3">
      <c r="A5" s="5">
        <v>0</v>
      </c>
      <c r="B5" s="3">
        <v>30</v>
      </c>
      <c r="C5" s="3">
        <v>30</v>
      </c>
    </row>
    <row r="6" spans="1:3" x14ac:dyDescent="0.3">
      <c r="A6" s="5">
        <v>1</v>
      </c>
      <c r="B6" s="3">
        <v>55</v>
      </c>
      <c r="C6" s="3">
        <v>55</v>
      </c>
    </row>
    <row r="7" spans="1:3" x14ac:dyDescent="0.3">
      <c r="A7" s="5">
        <v>2</v>
      </c>
      <c r="B7" s="3">
        <v>110</v>
      </c>
      <c r="C7" s="3">
        <v>110</v>
      </c>
    </row>
    <row r="8" spans="1:3" x14ac:dyDescent="0.3">
      <c r="A8" s="5">
        <v>3</v>
      </c>
      <c r="B8" s="3">
        <v>200</v>
      </c>
      <c r="C8" s="3">
        <v>200</v>
      </c>
    </row>
    <row r="9" spans="1:3" x14ac:dyDescent="0.3">
      <c r="A9" s="5">
        <v>4</v>
      </c>
      <c r="B9" s="3">
        <v>320</v>
      </c>
      <c r="C9" s="3">
        <v>320</v>
      </c>
    </row>
    <row r="10" spans="1:3" x14ac:dyDescent="0.3">
      <c r="A10" s="5">
        <v>5</v>
      </c>
      <c r="B10" s="3">
        <v>470</v>
      </c>
      <c r="C10" s="3">
        <v>470</v>
      </c>
    </row>
    <row r="11" spans="1:3" x14ac:dyDescent="0.3">
      <c r="A11" s="5" t="s">
        <v>22</v>
      </c>
      <c r="B11" s="3">
        <v>1185</v>
      </c>
      <c r="C11" s="3">
        <v>1185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C5"/>
  <sheetViews>
    <sheetView workbookViewId="0"/>
  </sheetViews>
  <sheetFormatPr defaultRowHeight="14.4" x14ac:dyDescent="0.3"/>
  <cols>
    <col min="1" max="1" width="18" bestFit="1" customWidth="1"/>
    <col min="2" max="2" width="13.88671875" bestFit="1" customWidth="1"/>
    <col min="3" max="3" width="13.44140625" bestFit="1" customWidth="1"/>
  </cols>
  <sheetData>
    <row r="1" spans="1:3" x14ac:dyDescent="0.3">
      <c r="A1" s="4" t="s">
        <v>21</v>
      </c>
      <c r="B1" t="s">
        <v>25</v>
      </c>
      <c r="C1" t="s">
        <v>24</v>
      </c>
    </row>
    <row r="2" spans="1:3" x14ac:dyDescent="0.3">
      <c r="A2" s="5">
        <v>6</v>
      </c>
      <c r="B2" s="3">
        <v>1</v>
      </c>
      <c r="C2" s="3">
        <v>48</v>
      </c>
    </row>
    <row r="3" spans="1:3" x14ac:dyDescent="0.3">
      <c r="A3" s="5">
        <v>8</v>
      </c>
      <c r="B3" s="3">
        <v>6</v>
      </c>
      <c r="C3" s="3">
        <v>48</v>
      </c>
    </row>
    <row r="4" spans="1:3" x14ac:dyDescent="0.3">
      <c r="A4" s="5">
        <v>9</v>
      </c>
      <c r="B4" s="3">
        <v>2</v>
      </c>
      <c r="C4" s="3">
        <v>48</v>
      </c>
    </row>
    <row r="5" spans="1:3" x14ac:dyDescent="0.3">
      <c r="A5" s="5" t="s">
        <v>22</v>
      </c>
      <c r="B5" s="3">
        <v>9</v>
      </c>
      <c r="C5" s="3">
        <v>144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C4"/>
  <sheetViews>
    <sheetView workbookViewId="0"/>
  </sheetViews>
  <sheetFormatPr defaultRowHeight="14.4" x14ac:dyDescent="0.3"/>
  <cols>
    <col min="1" max="1" width="18" bestFit="1" customWidth="1"/>
    <col min="2" max="2" width="13.88671875" bestFit="1" customWidth="1"/>
    <col min="3" max="3" width="13.44140625" bestFit="1" customWidth="1"/>
  </cols>
  <sheetData>
    <row r="1" spans="1:3" x14ac:dyDescent="0.3">
      <c r="A1" s="4" t="s">
        <v>21</v>
      </c>
      <c r="B1" t="s">
        <v>25</v>
      </c>
      <c r="C1" t="s">
        <v>24</v>
      </c>
    </row>
    <row r="2" spans="1:3" x14ac:dyDescent="0.3">
      <c r="A2" s="5" t="s">
        <v>13</v>
      </c>
      <c r="B2" s="3">
        <v>6</v>
      </c>
      <c r="C2" s="3">
        <v>48</v>
      </c>
    </row>
    <row r="3" spans="1:3" x14ac:dyDescent="0.3">
      <c r="A3" s="5" t="s">
        <v>17</v>
      </c>
      <c r="B3" s="3">
        <v>3</v>
      </c>
      <c r="C3" s="3">
        <v>96</v>
      </c>
    </row>
    <row r="4" spans="1:3" x14ac:dyDescent="0.3">
      <c r="A4" s="5" t="s">
        <v>22</v>
      </c>
      <c r="B4" s="3">
        <v>9</v>
      </c>
      <c r="C4" s="3">
        <v>144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3:C28"/>
  <sheetViews>
    <sheetView topLeftCell="B1" workbookViewId="0">
      <selection activeCell="D9" sqref="D9"/>
    </sheetView>
  </sheetViews>
  <sheetFormatPr defaultRowHeight="14.4" x14ac:dyDescent="0.3"/>
  <cols>
    <col min="1" max="1" width="19.6640625" customWidth="1"/>
    <col min="2" max="2" width="13.88671875" bestFit="1" customWidth="1"/>
    <col min="3" max="3" width="13.44140625" bestFit="1" customWidth="1"/>
    <col min="4" max="4" width="12.88671875" bestFit="1" customWidth="1"/>
  </cols>
  <sheetData>
    <row r="3" spans="1:3" x14ac:dyDescent="0.3">
      <c r="A3" s="4" t="s">
        <v>21</v>
      </c>
      <c r="B3" t="s">
        <v>25</v>
      </c>
      <c r="C3" t="s">
        <v>24</v>
      </c>
    </row>
    <row r="4" spans="1:3" x14ac:dyDescent="0.3">
      <c r="A4" s="5">
        <v>0</v>
      </c>
      <c r="B4" s="3">
        <v>2</v>
      </c>
      <c r="C4" s="3">
        <v>9</v>
      </c>
    </row>
    <row r="5" spans="1:3" x14ac:dyDescent="0.3">
      <c r="A5" s="6">
        <v>42339.481053240743</v>
      </c>
      <c r="B5" s="3">
        <v>1</v>
      </c>
      <c r="C5" s="3">
        <v>3</v>
      </c>
    </row>
    <row r="6" spans="1:3" x14ac:dyDescent="0.3">
      <c r="A6" s="6">
        <v>42339.486875000002</v>
      </c>
      <c r="B6" s="3">
        <v>1</v>
      </c>
      <c r="C6" s="3">
        <v>3</v>
      </c>
    </row>
    <row r="7" spans="1:3" x14ac:dyDescent="0.3">
      <c r="A7" s="6">
        <v>42339.4922337963</v>
      </c>
      <c r="B7" s="3">
        <v>0</v>
      </c>
      <c r="C7" s="3">
        <v>3</v>
      </c>
    </row>
    <row r="8" spans="1:3" x14ac:dyDescent="0.3">
      <c r="A8" s="5">
        <v>1</v>
      </c>
      <c r="B8" s="3">
        <v>2</v>
      </c>
      <c r="C8" s="3">
        <v>9</v>
      </c>
    </row>
    <row r="9" spans="1:3" x14ac:dyDescent="0.3">
      <c r="A9" s="6">
        <v>42339.481053240743</v>
      </c>
      <c r="B9" s="3">
        <v>1</v>
      </c>
      <c r="C9" s="3">
        <v>3</v>
      </c>
    </row>
    <row r="10" spans="1:3" x14ac:dyDescent="0.3">
      <c r="A10" s="6">
        <v>42339.486875000002</v>
      </c>
      <c r="B10" s="3">
        <v>0</v>
      </c>
      <c r="C10" s="3">
        <v>3</v>
      </c>
    </row>
    <row r="11" spans="1:3" x14ac:dyDescent="0.3">
      <c r="A11" s="6">
        <v>42339.4922337963</v>
      </c>
      <c r="B11" s="3">
        <v>1</v>
      </c>
      <c r="C11" s="3">
        <v>3</v>
      </c>
    </row>
    <row r="12" spans="1:3" x14ac:dyDescent="0.3">
      <c r="A12" s="5">
        <v>2</v>
      </c>
      <c r="B12" s="3">
        <v>1</v>
      </c>
      <c r="C12" s="3">
        <v>18</v>
      </c>
    </row>
    <row r="13" spans="1:3" x14ac:dyDescent="0.3">
      <c r="A13" s="6">
        <v>42339.481053240743</v>
      </c>
      <c r="B13" s="3">
        <v>0</v>
      </c>
      <c r="C13" s="3">
        <v>6</v>
      </c>
    </row>
    <row r="14" spans="1:3" x14ac:dyDescent="0.3">
      <c r="A14" s="6">
        <v>42339.486875000002</v>
      </c>
      <c r="B14" s="3">
        <v>0</v>
      </c>
      <c r="C14" s="3">
        <v>6</v>
      </c>
    </row>
    <row r="15" spans="1:3" x14ac:dyDescent="0.3">
      <c r="A15" s="6">
        <v>42339.4922337963</v>
      </c>
      <c r="B15" s="3">
        <v>1</v>
      </c>
      <c r="C15" s="3">
        <v>6</v>
      </c>
    </row>
    <row r="16" spans="1:3" x14ac:dyDescent="0.3">
      <c r="A16" s="5">
        <v>3</v>
      </c>
      <c r="B16" s="3">
        <v>0</v>
      </c>
      <c r="C16" s="3">
        <v>27</v>
      </c>
    </row>
    <row r="17" spans="1:3" x14ac:dyDescent="0.3">
      <c r="A17" s="6">
        <v>42339.481053240743</v>
      </c>
      <c r="B17" s="3">
        <v>0</v>
      </c>
      <c r="C17" s="3">
        <v>9</v>
      </c>
    </row>
    <row r="18" spans="1:3" x14ac:dyDescent="0.3">
      <c r="A18" s="6">
        <v>42339.486875000002</v>
      </c>
      <c r="B18" s="3">
        <v>0</v>
      </c>
      <c r="C18" s="3">
        <v>9</v>
      </c>
    </row>
    <row r="19" spans="1:3" x14ac:dyDescent="0.3">
      <c r="A19" s="6">
        <v>42339.4922337963</v>
      </c>
      <c r="B19" s="3">
        <v>0</v>
      </c>
      <c r="C19" s="3">
        <v>9</v>
      </c>
    </row>
    <row r="20" spans="1:3" x14ac:dyDescent="0.3">
      <c r="A20" s="5">
        <v>4</v>
      </c>
      <c r="B20" s="3">
        <v>2</v>
      </c>
      <c r="C20" s="3">
        <v>36</v>
      </c>
    </row>
    <row r="21" spans="1:3" x14ac:dyDescent="0.3">
      <c r="A21" s="6">
        <v>42339.481053240743</v>
      </c>
      <c r="B21" s="3">
        <v>2</v>
      </c>
      <c r="C21" s="3">
        <v>12</v>
      </c>
    </row>
    <row r="22" spans="1:3" x14ac:dyDescent="0.3">
      <c r="A22" s="6">
        <v>42339.486875000002</v>
      </c>
      <c r="B22" s="3">
        <v>0</v>
      </c>
      <c r="C22" s="3">
        <v>12</v>
      </c>
    </row>
    <row r="23" spans="1:3" x14ac:dyDescent="0.3">
      <c r="A23" s="6">
        <v>42339.4922337963</v>
      </c>
      <c r="B23" s="3">
        <v>0</v>
      </c>
      <c r="C23" s="3">
        <v>12</v>
      </c>
    </row>
    <row r="24" spans="1:3" x14ac:dyDescent="0.3">
      <c r="A24" s="5">
        <v>5</v>
      </c>
      <c r="B24" s="3">
        <v>2</v>
      </c>
      <c r="C24" s="3">
        <v>45</v>
      </c>
    </row>
    <row r="25" spans="1:3" x14ac:dyDescent="0.3">
      <c r="A25" s="6">
        <v>42339.481053240743</v>
      </c>
      <c r="B25" s="3">
        <v>2</v>
      </c>
      <c r="C25" s="3">
        <v>15</v>
      </c>
    </row>
    <row r="26" spans="1:3" x14ac:dyDescent="0.3">
      <c r="A26" s="6">
        <v>42339.486875000002</v>
      </c>
      <c r="B26" s="3">
        <v>0</v>
      </c>
      <c r="C26" s="3">
        <v>15</v>
      </c>
    </row>
    <row r="27" spans="1:3" x14ac:dyDescent="0.3">
      <c r="A27" s="6">
        <v>42339.4922337963</v>
      </c>
      <c r="B27" s="3">
        <v>0</v>
      </c>
      <c r="C27" s="3">
        <v>15</v>
      </c>
    </row>
    <row r="28" spans="1:3" x14ac:dyDescent="0.3">
      <c r="A28" s="5" t="s">
        <v>22</v>
      </c>
      <c r="B28" s="3">
        <v>9</v>
      </c>
      <c r="C28" s="3">
        <v>144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6"/>
  <dimension ref="A3:B28"/>
  <sheetViews>
    <sheetView workbookViewId="0">
      <selection activeCell="A28" sqref="A28"/>
    </sheetView>
  </sheetViews>
  <sheetFormatPr defaultRowHeight="14.4" x14ac:dyDescent="0.3"/>
  <cols>
    <col min="1" max="1" width="19.6640625" customWidth="1"/>
    <col min="2" max="2" width="19.6640625" bestFit="1" customWidth="1"/>
    <col min="3" max="3" width="19.5546875" bestFit="1" customWidth="1"/>
  </cols>
  <sheetData>
    <row r="3" spans="1:2" x14ac:dyDescent="0.3">
      <c r="A3" s="4" t="s">
        <v>21</v>
      </c>
      <c r="B3" t="s">
        <v>23</v>
      </c>
    </row>
    <row r="4" spans="1:2" x14ac:dyDescent="0.3">
      <c r="A4" s="5">
        <v>0</v>
      </c>
      <c r="B4" s="3">
        <v>0</v>
      </c>
    </row>
    <row r="5" spans="1:2" x14ac:dyDescent="0.3">
      <c r="A5" s="6">
        <v>42339.481053240743</v>
      </c>
      <c r="B5" s="3">
        <v>0</v>
      </c>
    </row>
    <row r="6" spans="1:2" x14ac:dyDescent="0.3">
      <c r="A6" s="6">
        <v>42339.486875000002</v>
      </c>
      <c r="B6" s="3">
        <v>0</v>
      </c>
    </row>
    <row r="7" spans="1:2" x14ac:dyDescent="0.3">
      <c r="A7" s="6">
        <v>42339.4922337963</v>
      </c>
      <c r="B7" s="3">
        <v>0</v>
      </c>
    </row>
    <row r="8" spans="1:2" x14ac:dyDescent="0.3">
      <c r="A8" s="5">
        <v>1</v>
      </c>
      <c r="B8" s="3">
        <v>1</v>
      </c>
    </row>
    <row r="9" spans="1:2" x14ac:dyDescent="0.3">
      <c r="A9" s="6">
        <v>42339.481053240743</v>
      </c>
      <c r="B9" s="3">
        <v>1</v>
      </c>
    </row>
    <row r="10" spans="1:2" x14ac:dyDescent="0.3">
      <c r="A10" s="6">
        <v>42339.486875000002</v>
      </c>
      <c r="B10" s="3">
        <v>0</v>
      </c>
    </row>
    <row r="11" spans="1:2" x14ac:dyDescent="0.3">
      <c r="A11" s="6">
        <v>42339.4922337963</v>
      </c>
      <c r="B11" s="3">
        <v>0</v>
      </c>
    </row>
    <row r="12" spans="1:2" x14ac:dyDescent="0.3">
      <c r="A12" s="5">
        <v>2</v>
      </c>
      <c r="B12" s="3">
        <v>1</v>
      </c>
    </row>
    <row r="13" spans="1:2" x14ac:dyDescent="0.3">
      <c r="A13" s="6">
        <v>42339.481053240743</v>
      </c>
      <c r="B13" s="3">
        <v>1</v>
      </c>
    </row>
    <row r="14" spans="1:2" x14ac:dyDescent="0.3">
      <c r="A14" s="6">
        <v>42339.486875000002</v>
      </c>
      <c r="B14" s="3">
        <v>0</v>
      </c>
    </row>
    <row r="15" spans="1:2" x14ac:dyDescent="0.3">
      <c r="A15" s="6">
        <v>42339.4922337963</v>
      </c>
      <c r="B15" s="3">
        <v>0</v>
      </c>
    </row>
    <row r="16" spans="1:2" x14ac:dyDescent="0.3">
      <c r="A16" s="5">
        <v>3</v>
      </c>
      <c r="B16" s="3">
        <v>1</v>
      </c>
    </row>
    <row r="17" spans="1:2" x14ac:dyDescent="0.3">
      <c r="A17" s="6">
        <v>42339.481053240743</v>
      </c>
      <c r="B17" s="3">
        <v>1</v>
      </c>
    </row>
    <row r="18" spans="1:2" x14ac:dyDescent="0.3">
      <c r="A18" s="6">
        <v>42339.486875000002</v>
      </c>
      <c r="B18" s="3">
        <v>0</v>
      </c>
    </row>
    <row r="19" spans="1:2" x14ac:dyDescent="0.3">
      <c r="A19" s="6">
        <v>42339.4922337963</v>
      </c>
      <c r="B19" s="3">
        <v>0</v>
      </c>
    </row>
    <row r="20" spans="1:2" x14ac:dyDescent="0.3">
      <c r="A20" s="5">
        <v>4</v>
      </c>
      <c r="B20" s="3">
        <v>1</v>
      </c>
    </row>
    <row r="21" spans="1:2" x14ac:dyDescent="0.3">
      <c r="A21" s="6">
        <v>42339.481053240743</v>
      </c>
      <c r="B21" s="3">
        <v>1</v>
      </c>
    </row>
    <row r="22" spans="1:2" x14ac:dyDescent="0.3">
      <c r="A22" s="6">
        <v>42339.486875000002</v>
      </c>
      <c r="B22" s="3">
        <v>0</v>
      </c>
    </row>
    <row r="23" spans="1:2" x14ac:dyDescent="0.3">
      <c r="A23" s="6">
        <v>42339.4922337963</v>
      </c>
      <c r="B23" s="3">
        <v>0</v>
      </c>
    </row>
    <row r="24" spans="1:2" x14ac:dyDescent="0.3">
      <c r="A24" s="5">
        <v>5</v>
      </c>
      <c r="B24" s="3">
        <v>1</v>
      </c>
    </row>
    <row r="25" spans="1:2" x14ac:dyDescent="0.3">
      <c r="A25" s="6">
        <v>42339.481053240743</v>
      </c>
      <c r="B25" s="3">
        <v>1</v>
      </c>
    </row>
    <row r="26" spans="1:2" x14ac:dyDescent="0.3">
      <c r="A26" s="6">
        <v>42339.486875000002</v>
      </c>
      <c r="B26" s="3">
        <v>0</v>
      </c>
    </row>
    <row r="27" spans="1:2" x14ac:dyDescent="0.3">
      <c r="A27" s="6">
        <v>42339.4922337963</v>
      </c>
      <c r="B27" s="3">
        <v>0</v>
      </c>
    </row>
    <row r="28" spans="1:2" x14ac:dyDescent="0.3">
      <c r="A28" s="5" t="s">
        <v>22</v>
      </c>
      <c r="B28" s="3">
        <v>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7"/>
  <dimension ref="A3:B7"/>
  <sheetViews>
    <sheetView workbookViewId="0">
      <selection activeCell="O4" sqref="O4"/>
    </sheetView>
  </sheetViews>
  <sheetFormatPr defaultRowHeight="14.4" x14ac:dyDescent="0.3"/>
  <cols>
    <col min="1" max="1" width="18" bestFit="1" customWidth="1"/>
    <col min="2" max="2" width="13.88671875" bestFit="1" customWidth="1"/>
  </cols>
  <sheetData>
    <row r="3" spans="1:2" x14ac:dyDescent="0.3">
      <c r="A3" s="4" t="s">
        <v>21</v>
      </c>
      <c r="B3" t="s">
        <v>20</v>
      </c>
    </row>
    <row r="4" spans="1:2" x14ac:dyDescent="0.3">
      <c r="A4" s="5">
        <v>6</v>
      </c>
      <c r="B4" s="3">
        <v>5</v>
      </c>
    </row>
    <row r="5" spans="1:2" x14ac:dyDescent="0.3">
      <c r="A5" s="5">
        <v>8</v>
      </c>
      <c r="B5" s="3">
        <v>14</v>
      </c>
    </row>
    <row r="6" spans="1:2" x14ac:dyDescent="0.3">
      <c r="A6" s="5">
        <v>9</v>
      </c>
      <c r="B6" s="3">
        <v>0</v>
      </c>
    </row>
    <row r="7" spans="1:2" x14ac:dyDescent="0.3">
      <c r="A7" s="5" t="s">
        <v>22</v>
      </c>
      <c r="B7" s="3">
        <v>19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8"/>
  <dimension ref="A1:B14"/>
  <sheetViews>
    <sheetView workbookViewId="0"/>
  </sheetViews>
  <sheetFormatPr defaultRowHeight="14.4" x14ac:dyDescent="0.3"/>
  <cols>
    <col min="1" max="1" width="19.6640625" bestFit="1" customWidth="1"/>
    <col min="2" max="2" width="15.33203125" bestFit="1" customWidth="1"/>
  </cols>
  <sheetData>
    <row r="1" spans="1:2" x14ac:dyDescent="0.3">
      <c r="A1" s="4" t="s">
        <v>21</v>
      </c>
      <c r="B1" t="s">
        <v>27</v>
      </c>
    </row>
    <row r="2" spans="1:2" x14ac:dyDescent="0.3">
      <c r="A2" s="5">
        <v>0</v>
      </c>
      <c r="B2" s="3">
        <v>30</v>
      </c>
    </row>
    <row r="3" spans="1:2" x14ac:dyDescent="0.3">
      <c r="A3" s="6">
        <v>42339.4922337963</v>
      </c>
      <c r="B3" s="3">
        <v>30</v>
      </c>
    </row>
    <row r="4" spans="1:2" x14ac:dyDescent="0.3">
      <c r="A4" s="5">
        <v>1</v>
      </c>
      <c r="B4" s="3">
        <v>55</v>
      </c>
    </row>
    <row r="5" spans="1:2" x14ac:dyDescent="0.3">
      <c r="A5" s="6">
        <v>42339.4922337963</v>
      </c>
      <c r="B5" s="3">
        <v>55</v>
      </c>
    </row>
    <row r="6" spans="1:2" x14ac:dyDescent="0.3">
      <c r="A6" s="5">
        <v>2</v>
      </c>
      <c r="B6" s="3">
        <v>110</v>
      </c>
    </row>
    <row r="7" spans="1:2" x14ac:dyDescent="0.3">
      <c r="A7" s="6">
        <v>42339.4922337963</v>
      </c>
      <c r="B7" s="3">
        <v>110</v>
      </c>
    </row>
    <row r="8" spans="1:2" x14ac:dyDescent="0.3">
      <c r="A8" s="5">
        <v>3</v>
      </c>
      <c r="B8" s="3">
        <v>200</v>
      </c>
    </row>
    <row r="9" spans="1:2" x14ac:dyDescent="0.3">
      <c r="A9" s="6">
        <v>42339.4922337963</v>
      </c>
      <c r="B9" s="3">
        <v>200</v>
      </c>
    </row>
    <row r="10" spans="1:2" x14ac:dyDescent="0.3">
      <c r="A10" s="5">
        <v>4</v>
      </c>
      <c r="B10" s="3">
        <v>320</v>
      </c>
    </row>
    <row r="11" spans="1:2" x14ac:dyDescent="0.3">
      <c r="A11" s="6">
        <v>42339.4922337963</v>
      </c>
      <c r="B11" s="3">
        <v>320</v>
      </c>
    </row>
    <row r="12" spans="1:2" x14ac:dyDescent="0.3">
      <c r="A12" s="5">
        <v>5</v>
      </c>
      <c r="B12" s="3">
        <v>470</v>
      </c>
    </row>
    <row r="13" spans="1:2" x14ac:dyDescent="0.3">
      <c r="A13" s="6">
        <v>42339.4922337963</v>
      </c>
      <c r="B13" s="3">
        <v>470</v>
      </c>
    </row>
    <row r="14" spans="1:2" x14ac:dyDescent="0.3">
      <c r="A14" s="5" t="s">
        <v>22</v>
      </c>
      <c r="B14" s="3">
        <v>1185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9"/>
  <dimension ref="A1:C8"/>
  <sheetViews>
    <sheetView topLeftCell="A14" workbookViewId="0"/>
  </sheetViews>
  <sheetFormatPr defaultRowHeight="14.4" x14ac:dyDescent="0.3"/>
  <cols>
    <col min="1" max="1" width="18" customWidth="1"/>
    <col min="2" max="2" width="14.6640625" bestFit="1" customWidth="1"/>
    <col min="3" max="3" width="15.33203125" bestFit="1" customWidth="1"/>
  </cols>
  <sheetData>
    <row r="1" spans="1:3" x14ac:dyDescent="0.3">
      <c r="A1" s="4" t="s">
        <v>21</v>
      </c>
      <c r="B1" t="s">
        <v>28</v>
      </c>
      <c r="C1" t="s">
        <v>27</v>
      </c>
    </row>
    <row r="2" spans="1:3" x14ac:dyDescent="0.3">
      <c r="A2" s="5">
        <v>0</v>
      </c>
      <c r="B2" s="3">
        <v>196.11111111111111</v>
      </c>
      <c r="C2" s="3">
        <v>25</v>
      </c>
    </row>
    <row r="3" spans="1:3" x14ac:dyDescent="0.3">
      <c r="A3" s="5">
        <v>1</v>
      </c>
      <c r="B3" s="3">
        <v>196.11111111111111</v>
      </c>
      <c r="C3" s="3">
        <v>50</v>
      </c>
    </row>
    <row r="4" spans="1:3" x14ac:dyDescent="0.3">
      <c r="A4" s="5">
        <v>2</v>
      </c>
      <c r="B4" s="3">
        <v>196.11111111111111</v>
      </c>
      <c r="C4" s="3">
        <v>110</v>
      </c>
    </row>
    <row r="5" spans="1:3" x14ac:dyDescent="0.3">
      <c r="A5" s="5">
        <v>3</v>
      </c>
      <c r="B5" s="3">
        <v>196.11111111111111</v>
      </c>
      <c r="C5" s="3">
        <v>200</v>
      </c>
    </row>
    <row r="6" spans="1:3" x14ac:dyDescent="0.3">
      <c r="A6" s="5">
        <v>4</v>
      </c>
      <c r="B6" s="3">
        <v>196.11111111111111</v>
      </c>
      <c r="C6" s="3">
        <v>310</v>
      </c>
    </row>
    <row r="7" spans="1:3" x14ac:dyDescent="0.3">
      <c r="A7" s="5">
        <v>5</v>
      </c>
      <c r="B7" s="3">
        <v>196.11111111111111</v>
      </c>
      <c r="C7" s="3">
        <v>450</v>
      </c>
    </row>
    <row r="8" spans="1:3" x14ac:dyDescent="0.3">
      <c r="A8" s="5" t="s">
        <v>22</v>
      </c>
      <c r="B8" s="3">
        <v>1176.6666666666667</v>
      </c>
      <c r="C8" s="3">
        <v>1145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0"/>
  <dimension ref="A3:B10"/>
  <sheetViews>
    <sheetView workbookViewId="0"/>
  </sheetViews>
  <sheetFormatPr defaultRowHeight="14.4" x14ac:dyDescent="0.3"/>
  <cols>
    <col min="1" max="1" width="18" bestFit="1" customWidth="1"/>
    <col min="2" max="2" width="14.6640625" customWidth="1"/>
    <col min="3" max="4" width="15.88671875" bestFit="1" customWidth="1"/>
    <col min="5" max="5" width="12" bestFit="1" customWidth="1"/>
  </cols>
  <sheetData>
    <row r="3" spans="1:2" x14ac:dyDescent="0.3">
      <c r="A3" s="4" t="s">
        <v>21</v>
      </c>
      <c r="B3" t="s">
        <v>28</v>
      </c>
    </row>
    <row r="4" spans="1:2" x14ac:dyDescent="0.3">
      <c r="A4" s="5">
        <v>0</v>
      </c>
      <c r="B4" s="3">
        <v>588.33333333333337</v>
      </c>
    </row>
    <row r="5" spans="1:2" x14ac:dyDescent="0.3">
      <c r="A5" s="5">
        <v>1</v>
      </c>
      <c r="B5" s="3">
        <v>588.33333333333337</v>
      </c>
    </row>
    <row r="6" spans="1:2" x14ac:dyDescent="0.3">
      <c r="A6" s="5">
        <v>2</v>
      </c>
      <c r="B6" s="3">
        <v>588.33333333333337</v>
      </c>
    </row>
    <row r="7" spans="1:2" x14ac:dyDescent="0.3">
      <c r="A7" s="5">
        <v>3</v>
      </c>
      <c r="B7" s="3">
        <v>588.33333333333337</v>
      </c>
    </row>
    <row r="8" spans="1:2" x14ac:dyDescent="0.3">
      <c r="A8" s="5">
        <v>4</v>
      </c>
      <c r="B8" s="3">
        <v>588.33333333333337</v>
      </c>
    </row>
    <row r="9" spans="1:2" x14ac:dyDescent="0.3">
      <c r="A9" s="5">
        <v>5</v>
      </c>
      <c r="B9" s="3">
        <v>588.33333333333337</v>
      </c>
    </row>
    <row r="10" spans="1:2" x14ac:dyDescent="0.3">
      <c r="A10" s="5" t="s">
        <v>22</v>
      </c>
      <c r="B10" s="3">
        <v>3530.0000000000005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1"/>
  <dimension ref="A1"/>
  <sheetViews>
    <sheetView workbookViewId="0">
      <selection activeCell="B3" sqref="B3"/>
    </sheetView>
  </sheetViews>
  <sheetFormatPr defaultRowHeight="14.4" x14ac:dyDescent="0.3"/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3"/>
  <dimension ref="A3:E11"/>
  <sheetViews>
    <sheetView workbookViewId="0">
      <selection activeCell="E4" sqref="E4"/>
    </sheetView>
  </sheetViews>
  <sheetFormatPr defaultRowHeight="14.4" x14ac:dyDescent="0.3"/>
  <cols>
    <col min="1" max="1" width="17.33203125" customWidth="1"/>
    <col min="2" max="2" width="18.5546875" customWidth="1"/>
    <col min="3" max="4" width="15.88671875" customWidth="1"/>
    <col min="5" max="5" width="10" customWidth="1"/>
    <col min="6" max="6" width="18.5546875" customWidth="1"/>
    <col min="7" max="7" width="19.5546875" customWidth="1"/>
    <col min="8" max="8" width="17.6640625" customWidth="1"/>
  </cols>
  <sheetData>
    <row r="3" spans="1:5" x14ac:dyDescent="0.3">
      <c r="A3" s="4" t="s">
        <v>27</v>
      </c>
      <c r="B3" s="4" t="s">
        <v>26</v>
      </c>
    </row>
    <row r="4" spans="1:5" x14ac:dyDescent="0.3">
      <c r="A4" s="4" t="s">
        <v>21</v>
      </c>
      <c r="B4" s="2">
        <v>42339.481053240743</v>
      </c>
      <c r="C4" s="2">
        <v>42339.486875000002</v>
      </c>
      <c r="D4" s="2">
        <v>42339.4922337963</v>
      </c>
      <c r="E4" s="2" t="s">
        <v>22</v>
      </c>
    </row>
    <row r="5" spans="1:5" x14ac:dyDescent="0.3">
      <c r="A5" s="5">
        <v>0</v>
      </c>
      <c r="B5" s="3">
        <v>25</v>
      </c>
      <c r="C5" s="3">
        <v>25</v>
      </c>
      <c r="D5" s="3">
        <v>30</v>
      </c>
      <c r="E5" s="3">
        <v>80</v>
      </c>
    </row>
    <row r="6" spans="1:5" x14ac:dyDescent="0.3">
      <c r="A6" s="5">
        <v>1</v>
      </c>
      <c r="B6" s="3">
        <v>50</v>
      </c>
      <c r="C6" s="3">
        <v>55</v>
      </c>
      <c r="D6" s="3">
        <v>55</v>
      </c>
      <c r="E6" s="3">
        <v>160</v>
      </c>
    </row>
    <row r="7" spans="1:5" x14ac:dyDescent="0.3">
      <c r="A7" s="5">
        <v>2</v>
      </c>
      <c r="B7" s="3">
        <v>110</v>
      </c>
      <c r="C7" s="3">
        <v>115</v>
      </c>
      <c r="D7" s="3">
        <v>110</v>
      </c>
      <c r="E7" s="3">
        <v>335</v>
      </c>
    </row>
    <row r="8" spans="1:5" x14ac:dyDescent="0.3">
      <c r="A8" s="5">
        <v>3</v>
      </c>
      <c r="B8" s="3">
        <v>200</v>
      </c>
      <c r="C8" s="3">
        <v>205</v>
      </c>
      <c r="D8" s="3">
        <v>200</v>
      </c>
      <c r="E8" s="3">
        <v>605</v>
      </c>
    </row>
    <row r="9" spans="1:5" x14ac:dyDescent="0.3">
      <c r="A9" s="5">
        <v>4</v>
      </c>
      <c r="B9" s="3">
        <v>310</v>
      </c>
      <c r="C9" s="3">
        <v>325</v>
      </c>
      <c r="D9" s="3">
        <v>320</v>
      </c>
      <c r="E9" s="3">
        <v>955</v>
      </c>
    </row>
    <row r="10" spans="1:5" x14ac:dyDescent="0.3">
      <c r="A10" s="5">
        <v>5</v>
      </c>
      <c r="B10" s="3">
        <v>450</v>
      </c>
      <c r="C10" s="3">
        <v>475</v>
      </c>
      <c r="D10" s="3">
        <v>470</v>
      </c>
      <c r="E10" s="3">
        <v>1395</v>
      </c>
    </row>
    <row r="11" spans="1:5" x14ac:dyDescent="0.3">
      <c r="A11" s="5" t="s">
        <v>22</v>
      </c>
      <c r="B11" s="3">
        <v>1145</v>
      </c>
      <c r="C11" s="3">
        <v>1200</v>
      </c>
      <c r="D11" s="3">
        <v>1185</v>
      </c>
      <c r="E11" s="3">
        <v>3530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5"/>
  <dimension ref="A3:G8"/>
  <sheetViews>
    <sheetView workbookViewId="0">
      <selection activeCell="G10" sqref="G10"/>
    </sheetView>
  </sheetViews>
  <sheetFormatPr defaultRowHeight="14.4" x14ac:dyDescent="0.3"/>
  <cols>
    <col min="1" max="1" width="18" bestFit="1" customWidth="1"/>
    <col min="2" max="6" width="12" bestFit="1" customWidth="1"/>
    <col min="7" max="7" width="10" bestFit="1" customWidth="1"/>
  </cols>
  <sheetData>
    <row r="3" spans="1:7" x14ac:dyDescent="0.3">
      <c r="A3" s="4" t="s">
        <v>21</v>
      </c>
      <c r="B3" t="s">
        <v>35</v>
      </c>
      <c r="C3" t="s">
        <v>36</v>
      </c>
      <c r="D3" t="s">
        <v>37</v>
      </c>
      <c r="E3" t="s">
        <v>38</v>
      </c>
      <c r="F3" t="s">
        <v>39</v>
      </c>
      <c r="G3" t="s">
        <v>34</v>
      </c>
    </row>
    <row r="4" spans="1:7" x14ac:dyDescent="0.3">
      <c r="A4" s="5" t="s">
        <v>33</v>
      </c>
      <c r="B4" s="3">
        <v>26.666666666666668</v>
      </c>
      <c r="C4" s="3">
        <v>53.333333333333336</v>
      </c>
      <c r="D4" s="3">
        <v>111.66666666666667</v>
      </c>
      <c r="E4" s="3">
        <v>201.66666666666666</v>
      </c>
      <c r="F4" s="3">
        <v>318.33333333333331</v>
      </c>
      <c r="G4" s="3">
        <v>465</v>
      </c>
    </row>
    <row r="5" spans="1:7" x14ac:dyDescent="0.3">
      <c r="A5" s="7">
        <v>42339.481053240743</v>
      </c>
      <c r="B5" s="3">
        <v>25</v>
      </c>
      <c r="C5" s="3">
        <v>50</v>
      </c>
      <c r="D5" s="3">
        <v>110</v>
      </c>
      <c r="E5" s="3">
        <v>200</v>
      </c>
      <c r="F5" s="3">
        <v>310</v>
      </c>
      <c r="G5" s="3">
        <v>450</v>
      </c>
    </row>
    <row r="6" spans="1:7" x14ac:dyDescent="0.3">
      <c r="A6" s="7">
        <v>42339.486875000002</v>
      </c>
      <c r="B6" s="3">
        <v>25</v>
      </c>
      <c r="C6" s="3">
        <v>55</v>
      </c>
      <c r="D6" s="3">
        <v>115</v>
      </c>
      <c r="E6" s="3">
        <v>205</v>
      </c>
      <c r="F6" s="3">
        <v>325</v>
      </c>
      <c r="G6" s="3">
        <v>475</v>
      </c>
    </row>
    <row r="7" spans="1:7" x14ac:dyDescent="0.3">
      <c r="A7" s="7">
        <v>42339.4922337963</v>
      </c>
      <c r="B7" s="3">
        <v>30</v>
      </c>
      <c r="C7" s="3">
        <v>55</v>
      </c>
      <c r="D7" s="3">
        <v>110</v>
      </c>
      <c r="E7" s="3">
        <v>200</v>
      </c>
      <c r="F7" s="3">
        <v>320</v>
      </c>
      <c r="G7" s="3">
        <v>470</v>
      </c>
    </row>
    <row r="8" spans="1:7" x14ac:dyDescent="0.3">
      <c r="A8" s="5" t="s">
        <v>22</v>
      </c>
      <c r="B8" s="3">
        <v>106.66666666666667</v>
      </c>
      <c r="C8" s="3">
        <v>213.33333333333334</v>
      </c>
      <c r="D8" s="3">
        <v>446.66666666666669</v>
      </c>
      <c r="E8" s="3">
        <v>806.66666666666663</v>
      </c>
      <c r="F8" s="3">
        <v>1273.3333333333333</v>
      </c>
      <c r="G8" s="3">
        <v>1860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2"/>
  <dimension ref="A3:B4"/>
  <sheetViews>
    <sheetView workbookViewId="0">
      <selection activeCell="A3" sqref="A3"/>
    </sheetView>
  </sheetViews>
  <sheetFormatPr defaultRowHeight="14.4" x14ac:dyDescent="0.3"/>
  <cols>
    <col min="1" max="1" width="9.77734375" customWidth="1"/>
    <col min="2" max="2" width="9.77734375" bestFit="1" customWidth="1"/>
  </cols>
  <sheetData>
    <row r="3" spans="1:2" x14ac:dyDescent="0.3">
      <c r="A3" t="s">
        <v>35</v>
      </c>
      <c r="B3" t="s">
        <v>36</v>
      </c>
    </row>
    <row r="4" spans="1:2" x14ac:dyDescent="0.3">
      <c r="A4" s="3">
        <v>106.25</v>
      </c>
      <c r="B4" s="3">
        <v>212.5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X35"/>
  <sheetViews>
    <sheetView tabSelected="1" workbookViewId="0">
      <selection activeCell="R1" sqref="R1:X6"/>
    </sheetView>
  </sheetViews>
  <sheetFormatPr defaultRowHeight="14.4" x14ac:dyDescent="0.3"/>
  <cols>
    <col min="1" max="1" width="15.6640625" bestFit="1" customWidth="1"/>
    <col min="2" max="2" width="3.33203125" customWidth="1"/>
    <col min="3" max="3" width="9.6640625" bestFit="1" customWidth="1"/>
    <col min="4" max="4" width="11.88671875" bestFit="1" customWidth="1"/>
    <col min="5" max="5" width="5.33203125" bestFit="1" customWidth="1"/>
    <col min="6" max="6" width="3" customWidth="1"/>
    <col min="7" max="7" width="4" customWidth="1"/>
    <col min="8" max="8" width="2" customWidth="1"/>
    <col min="9" max="9" width="5.44140625" bestFit="1" customWidth="1"/>
    <col min="10" max="10" width="4" customWidth="1"/>
    <col min="11" max="11" width="2" customWidth="1"/>
    <col min="12" max="12" width="4.88671875" customWidth="1"/>
    <col min="14" max="14" width="8.5546875" bestFit="1" customWidth="1"/>
    <col min="16" max="16" width="15.6640625" bestFit="1" customWidth="1"/>
    <col min="18" max="18" width="15.88671875" bestFit="1" customWidth="1"/>
  </cols>
  <sheetData>
    <row r="1" spans="1:2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s="1" t="s">
        <v>12</v>
      </c>
      <c r="R1" s="2" t="s">
        <v>0</v>
      </c>
      <c r="S1">
        <v>0</v>
      </c>
      <c r="T1">
        <v>1</v>
      </c>
      <c r="U1">
        <v>2</v>
      </c>
      <c r="V1">
        <v>3</v>
      </c>
      <c r="W1">
        <v>4</v>
      </c>
      <c r="X1">
        <v>5</v>
      </c>
    </row>
    <row r="2" spans="1:24" x14ac:dyDescent="0.3">
      <c r="A2" s="2">
        <v>42339.481053240743</v>
      </c>
      <c r="B2">
        <v>8</v>
      </c>
      <c r="C2" t="s">
        <v>13</v>
      </c>
      <c r="D2" t="s">
        <v>14</v>
      </c>
      <c r="E2">
        <v>1</v>
      </c>
      <c r="F2">
        <v>3</v>
      </c>
      <c r="G2">
        <v>17</v>
      </c>
      <c r="H2">
        <v>3</v>
      </c>
      <c r="I2">
        <v>0</v>
      </c>
      <c r="J2">
        <v>25</v>
      </c>
      <c r="K2">
        <v>0</v>
      </c>
      <c r="L2" t="s">
        <v>15</v>
      </c>
      <c r="M2">
        <f t="shared" ref="M2:M35" si="0">3-H2</f>
        <v>0</v>
      </c>
      <c r="R2" s="2">
        <v>42339.4922337963</v>
      </c>
      <c r="S2">
        <v>30</v>
      </c>
      <c r="T2">
        <v>55</v>
      </c>
      <c r="U2">
        <v>110</v>
      </c>
      <c r="V2">
        <v>200</v>
      </c>
      <c r="W2">
        <v>320</v>
      </c>
      <c r="X2">
        <v>470</v>
      </c>
    </row>
    <row r="3" spans="1:24" x14ac:dyDescent="0.3">
      <c r="A3" s="2">
        <v>42339.481053240743</v>
      </c>
      <c r="B3">
        <v>8</v>
      </c>
      <c r="C3" t="s">
        <v>13</v>
      </c>
      <c r="D3" t="s">
        <v>14</v>
      </c>
      <c r="E3">
        <v>1</v>
      </c>
      <c r="F3">
        <v>3</v>
      </c>
      <c r="G3">
        <v>24</v>
      </c>
      <c r="H3">
        <v>2</v>
      </c>
      <c r="I3">
        <v>1</v>
      </c>
      <c r="J3">
        <v>50</v>
      </c>
      <c r="K3">
        <v>0</v>
      </c>
      <c r="L3" t="s">
        <v>15</v>
      </c>
      <c r="M3">
        <f t="shared" si="0"/>
        <v>1</v>
      </c>
      <c r="R3" s="2">
        <v>42339.486875000002</v>
      </c>
      <c r="S3">
        <v>25</v>
      </c>
      <c r="T3">
        <v>55</v>
      </c>
      <c r="U3">
        <v>115</v>
      </c>
      <c r="V3">
        <v>205</v>
      </c>
      <c r="W3">
        <v>325</v>
      </c>
      <c r="X3">
        <v>475</v>
      </c>
    </row>
    <row r="4" spans="1:24" x14ac:dyDescent="0.3">
      <c r="A4" s="2">
        <v>42339.481053240743</v>
      </c>
      <c r="B4">
        <v>8</v>
      </c>
      <c r="C4" t="s">
        <v>13</v>
      </c>
      <c r="D4" t="s">
        <v>14</v>
      </c>
      <c r="E4">
        <v>0</v>
      </c>
      <c r="F4">
        <v>6</v>
      </c>
      <c r="G4">
        <v>47</v>
      </c>
      <c r="H4">
        <v>2</v>
      </c>
      <c r="I4">
        <v>2</v>
      </c>
      <c r="J4">
        <v>110</v>
      </c>
      <c r="K4">
        <v>3</v>
      </c>
      <c r="L4" t="s">
        <v>15</v>
      </c>
      <c r="M4">
        <f t="shared" si="0"/>
        <v>1</v>
      </c>
      <c r="R4" s="2">
        <v>42339.481053240743</v>
      </c>
      <c r="S4">
        <v>25</v>
      </c>
      <c r="T4">
        <v>50</v>
      </c>
      <c r="U4">
        <v>110</v>
      </c>
      <c r="V4">
        <v>200</v>
      </c>
      <c r="W4">
        <v>310</v>
      </c>
      <c r="X4">
        <v>450</v>
      </c>
    </row>
    <row r="5" spans="1:24" x14ac:dyDescent="0.3">
      <c r="A5" s="2">
        <v>42339.481053240743</v>
      </c>
      <c r="B5">
        <v>8</v>
      </c>
      <c r="C5" t="s">
        <v>13</v>
      </c>
      <c r="D5" t="s">
        <v>14</v>
      </c>
      <c r="E5">
        <v>0</v>
      </c>
      <c r="F5">
        <v>9</v>
      </c>
      <c r="G5">
        <v>71</v>
      </c>
      <c r="H5">
        <v>2</v>
      </c>
      <c r="I5">
        <v>3</v>
      </c>
      <c r="J5">
        <v>200</v>
      </c>
      <c r="K5">
        <v>3</v>
      </c>
      <c r="L5" t="s">
        <v>15</v>
      </c>
      <c r="M5">
        <f t="shared" si="0"/>
        <v>1</v>
      </c>
      <c r="R5" s="2"/>
      <c r="S5">
        <v>26.666666666666668</v>
      </c>
      <c r="T5">
        <v>53.333333333333336</v>
      </c>
      <c r="U5">
        <v>111.66666666666667</v>
      </c>
      <c r="V5">
        <v>201.66666666666666</v>
      </c>
      <c r="W5">
        <v>318.33333333333331</v>
      </c>
      <c r="X5">
        <v>465</v>
      </c>
    </row>
    <row r="6" spans="1:24" x14ac:dyDescent="0.3">
      <c r="A6" s="2">
        <v>42339.481053240743</v>
      </c>
      <c r="B6">
        <v>8</v>
      </c>
      <c r="C6" t="s">
        <v>13</v>
      </c>
      <c r="D6" t="s">
        <v>14</v>
      </c>
      <c r="E6">
        <v>2</v>
      </c>
      <c r="F6">
        <v>12</v>
      </c>
      <c r="G6">
        <v>100</v>
      </c>
      <c r="H6">
        <v>2</v>
      </c>
      <c r="I6">
        <v>4</v>
      </c>
      <c r="J6">
        <v>310</v>
      </c>
      <c r="K6">
        <v>2</v>
      </c>
      <c r="L6" t="s">
        <v>15</v>
      </c>
      <c r="M6">
        <f t="shared" si="0"/>
        <v>1</v>
      </c>
      <c r="R6" s="2"/>
    </row>
    <row r="7" spans="1:24" x14ac:dyDescent="0.3">
      <c r="A7" s="2">
        <v>42339.481053240743</v>
      </c>
      <c r="B7">
        <v>8</v>
      </c>
      <c r="C7" t="s">
        <v>13</v>
      </c>
      <c r="D7" t="s">
        <v>14</v>
      </c>
      <c r="E7">
        <v>2</v>
      </c>
      <c r="F7">
        <v>15</v>
      </c>
      <c r="G7">
        <v>120</v>
      </c>
      <c r="H7">
        <v>2</v>
      </c>
      <c r="I7">
        <v>5</v>
      </c>
      <c r="J7">
        <v>450</v>
      </c>
      <c r="K7">
        <v>6</v>
      </c>
      <c r="L7" t="s">
        <v>16</v>
      </c>
      <c r="M7">
        <f t="shared" si="0"/>
        <v>1</v>
      </c>
      <c r="R7" s="2"/>
    </row>
    <row r="8" spans="1:24" x14ac:dyDescent="0.3">
      <c r="A8" s="2">
        <v>42339.486875000002</v>
      </c>
      <c r="B8">
        <v>6</v>
      </c>
      <c r="C8" t="s">
        <v>17</v>
      </c>
      <c r="D8" t="s">
        <v>18</v>
      </c>
      <c r="E8">
        <v>1</v>
      </c>
      <c r="F8">
        <v>3</v>
      </c>
      <c r="G8">
        <v>14</v>
      </c>
      <c r="H8">
        <v>3</v>
      </c>
      <c r="I8">
        <v>0</v>
      </c>
      <c r="J8">
        <v>25</v>
      </c>
      <c r="K8">
        <v>0</v>
      </c>
      <c r="L8" t="s">
        <v>15</v>
      </c>
      <c r="M8">
        <f t="shared" si="0"/>
        <v>0</v>
      </c>
      <c r="P8" s="2"/>
      <c r="R8" s="2"/>
    </row>
    <row r="9" spans="1:24" x14ac:dyDescent="0.3">
      <c r="A9" s="2">
        <v>42339.486875000002</v>
      </c>
      <c r="B9">
        <v>6</v>
      </c>
      <c r="C9" t="s">
        <v>17</v>
      </c>
      <c r="D9" t="s">
        <v>18</v>
      </c>
      <c r="E9">
        <v>0</v>
      </c>
      <c r="F9">
        <v>3</v>
      </c>
      <c r="G9">
        <v>18</v>
      </c>
      <c r="H9">
        <v>3</v>
      </c>
      <c r="I9">
        <v>1</v>
      </c>
      <c r="J9">
        <v>55</v>
      </c>
      <c r="K9">
        <v>0</v>
      </c>
      <c r="L9" t="s">
        <v>15</v>
      </c>
      <c r="M9">
        <f t="shared" si="0"/>
        <v>0</v>
      </c>
      <c r="R9" s="2"/>
    </row>
    <row r="10" spans="1:24" x14ac:dyDescent="0.3">
      <c r="A10" s="2">
        <v>42339.486875000002</v>
      </c>
      <c r="B10">
        <v>6</v>
      </c>
      <c r="C10" t="s">
        <v>17</v>
      </c>
      <c r="D10" t="s">
        <v>18</v>
      </c>
      <c r="E10">
        <v>0</v>
      </c>
      <c r="F10">
        <v>6</v>
      </c>
      <c r="G10">
        <v>40</v>
      </c>
      <c r="H10">
        <v>3</v>
      </c>
      <c r="I10">
        <v>2</v>
      </c>
      <c r="J10">
        <v>115</v>
      </c>
      <c r="K10">
        <v>1</v>
      </c>
      <c r="L10" t="s">
        <v>15</v>
      </c>
      <c r="M10">
        <f t="shared" si="0"/>
        <v>0</v>
      </c>
      <c r="R10" s="2"/>
    </row>
    <row r="11" spans="1:24" x14ac:dyDescent="0.3">
      <c r="A11" s="2">
        <v>42339.486875000002</v>
      </c>
      <c r="B11">
        <v>6</v>
      </c>
      <c r="C11" t="s">
        <v>17</v>
      </c>
      <c r="D11" t="s">
        <v>18</v>
      </c>
      <c r="E11">
        <v>0</v>
      </c>
      <c r="F11">
        <v>9</v>
      </c>
      <c r="G11">
        <v>60</v>
      </c>
      <c r="H11">
        <v>3</v>
      </c>
      <c r="I11">
        <v>3</v>
      </c>
      <c r="J11">
        <v>205</v>
      </c>
      <c r="K11">
        <v>1</v>
      </c>
      <c r="L11" t="s">
        <v>15</v>
      </c>
      <c r="M11">
        <f t="shared" si="0"/>
        <v>0</v>
      </c>
      <c r="R11" s="2"/>
    </row>
    <row r="12" spans="1:24" x14ac:dyDescent="0.3">
      <c r="A12" s="2">
        <v>42339.486875000002</v>
      </c>
      <c r="B12">
        <v>6</v>
      </c>
      <c r="C12" t="s">
        <v>17</v>
      </c>
      <c r="D12" t="s">
        <v>18</v>
      </c>
      <c r="E12">
        <v>0</v>
      </c>
      <c r="F12">
        <v>12</v>
      </c>
      <c r="G12">
        <v>101</v>
      </c>
      <c r="H12">
        <v>3</v>
      </c>
      <c r="I12">
        <v>4</v>
      </c>
      <c r="J12">
        <v>325</v>
      </c>
      <c r="K12">
        <v>0</v>
      </c>
      <c r="L12" t="s">
        <v>15</v>
      </c>
      <c r="M12">
        <f t="shared" si="0"/>
        <v>0</v>
      </c>
      <c r="R12" s="2"/>
    </row>
    <row r="13" spans="1:24" x14ac:dyDescent="0.3">
      <c r="A13" s="2">
        <v>42339.486875000002</v>
      </c>
      <c r="B13">
        <v>6</v>
      </c>
      <c r="C13" t="s">
        <v>17</v>
      </c>
      <c r="D13" t="s">
        <v>18</v>
      </c>
      <c r="E13">
        <v>0</v>
      </c>
      <c r="F13">
        <v>15</v>
      </c>
      <c r="G13">
        <v>120</v>
      </c>
      <c r="H13">
        <v>3</v>
      </c>
      <c r="I13">
        <v>5</v>
      </c>
      <c r="J13">
        <v>475</v>
      </c>
      <c r="K13">
        <v>3</v>
      </c>
      <c r="L13" t="s">
        <v>16</v>
      </c>
      <c r="M13">
        <f t="shared" si="0"/>
        <v>0</v>
      </c>
      <c r="R13" s="2"/>
    </row>
    <row r="14" spans="1:24" x14ac:dyDescent="0.3">
      <c r="A14" s="2">
        <v>42339.4922337963</v>
      </c>
      <c r="B14">
        <v>9</v>
      </c>
      <c r="C14" t="s">
        <v>17</v>
      </c>
      <c r="D14" t="s">
        <v>19</v>
      </c>
      <c r="E14">
        <v>0</v>
      </c>
      <c r="F14">
        <v>3</v>
      </c>
      <c r="G14">
        <v>9</v>
      </c>
      <c r="H14">
        <v>3</v>
      </c>
      <c r="I14">
        <v>0</v>
      </c>
      <c r="J14">
        <v>30</v>
      </c>
      <c r="K14">
        <v>0</v>
      </c>
      <c r="L14" t="s">
        <v>15</v>
      </c>
      <c r="M14">
        <f t="shared" si="0"/>
        <v>0</v>
      </c>
      <c r="R14" s="2"/>
    </row>
    <row r="15" spans="1:24" x14ac:dyDescent="0.3">
      <c r="A15" s="2">
        <v>42339.4922337963</v>
      </c>
      <c r="B15">
        <v>9</v>
      </c>
      <c r="C15" t="s">
        <v>17</v>
      </c>
      <c r="D15" t="s">
        <v>19</v>
      </c>
      <c r="E15">
        <v>1</v>
      </c>
      <c r="F15">
        <v>3</v>
      </c>
      <c r="G15">
        <v>22</v>
      </c>
      <c r="H15">
        <v>3</v>
      </c>
      <c r="I15">
        <v>1</v>
      </c>
      <c r="J15">
        <v>55</v>
      </c>
      <c r="K15">
        <v>0</v>
      </c>
      <c r="L15" t="s">
        <v>15</v>
      </c>
      <c r="M15">
        <f t="shared" si="0"/>
        <v>0</v>
      </c>
      <c r="R15" s="2"/>
    </row>
    <row r="16" spans="1:24" x14ac:dyDescent="0.3">
      <c r="A16" s="2">
        <v>42339.4922337963</v>
      </c>
      <c r="B16">
        <v>9</v>
      </c>
      <c r="C16" t="s">
        <v>17</v>
      </c>
      <c r="D16" t="s">
        <v>19</v>
      </c>
      <c r="E16">
        <v>1</v>
      </c>
      <c r="F16">
        <v>6</v>
      </c>
      <c r="G16">
        <v>40</v>
      </c>
      <c r="H16">
        <v>3</v>
      </c>
      <c r="I16">
        <v>2</v>
      </c>
      <c r="J16">
        <v>110</v>
      </c>
      <c r="K16">
        <v>0</v>
      </c>
      <c r="L16" t="s">
        <v>15</v>
      </c>
      <c r="M16">
        <f t="shared" si="0"/>
        <v>0</v>
      </c>
      <c r="R16" s="2"/>
    </row>
    <row r="17" spans="1:18" x14ac:dyDescent="0.3">
      <c r="A17" s="2">
        <v>42339.4922337963</v>
      </c>
      <c r="B17">
        <v>9</v>
      </c>
      <c r="C17" t="s">
        <v>17</v>
      </c>
      <c r="D17" t="s">
        <v>19</v>
      </c>
      <c r="E17">
        <v>0</v>
      </c>
      <c r="F17">
        <v>9</v>
      </c>
      <c r="G17">
        <v>59</v>
      </c>
      <c r="H17">
        <v>3</v>
      </c>
      <c r="I17">
        <v>3</v>
      </c>
      <c r="J17">
        <v>200</v>
      </c>
      <c r="K17">
        <v>0</v>
      </c>
      <c r="L17" t="s">
        <v>15</v>
      </c>
      <c r="M17">
        <f t="shared" si="0"/>
        <v>0</v>
      </c>
      <c r="R17" s="2"/>
    </row>
    <row r="18" spans="1:18" x14ac:dyDescent="0.3">
      <c r="A18" s="2">
        <v>42339.4922337963</v>
      </c>
      <c r="B18">
        <v>9</v>
      </c>
      <c r="C18" t="s">
        <v>17</v>
      </c>
      <c r="D18" t="s">
        <v>19</v>
      </c>
      <c r="E18">
        <v>0</v>
      </c>
      <c r="F18">
        <v>12</v>
      </c>
      <c r="G18">
        <v>100</v>
      </c>
      <c r="H18">
        <v>3</v>
      </c>
      <c r="I18">
        <v>4</v>
      </c>
      <c r="J18">
        <v>320</v>
      </c>
      <c r="K18">
        <v>0</v>
      </c>
      <c r="L18" t="s">
        <v>15</v>
      </c>
      <c r="M18">
        <f t="shared" si="0"/>
        <v>0</v>
      </c>
      <c r="R18" s="2"/>
    </row>
    <row r="19" spans="1:18" x14ac:dyDescent="0.3">
      <c r="A19" s="2">
        <v>42339.4922337963</v>
      </c>
      <c r="B19">
        <v>9</v>
      </c>
      <c r="C19" t="s">
        <v>17</v>
      </c>
      <c r="D19" t="s">
        <v>19</v>
      </c>
      <c r="E19">
        <v>0</v>
      </c>
      <c r="F19">
        <v>15</v>
      </c>
      <c r="G19">
        <v>120</v>
      </c>
      <c r="H19">
        <v>3</v>
      </c>
      <c r="I19">
        <v>5</v>
      </c>
      <c r="J19">
        <v>470</v>
      </c>
      <c r="K19">
        <v>0</v>
      </c>
      <c r="L19" t="s">
        <v>16</v>
      </c>
      <c r="M19">
        <f t="shared" si="0"/>
        <v>0</v>
      </c>
      <c r="R19" s="2"/>
    </row>
    <row r="20" spans="1:18" x14ac:dyDescent="0.3">
      <c r="A20" s="2"/>
      <c r="R20" s="2"/>
    </row>
    <row r="21" spans="1:18" x14ac:dyDescent="0.3">
      <c r="A21" s="2"/>
    </row>
    <row r="22" spans="1:18" x14ac:dyDescent="0.3">
      <c r="M22">
        <f t="shared" si="0"/>
        <v>3</v>
      </c>
    </row>
    <row r="23" spans="1:18" x14ac:dyDescent="0.3">
      <c r="M23">
        <f t="shared" si="0"/>
        <v>3</v>
      </c>
    </row>
    <row r="24" spans="1:18" x14ac:dyDescent="0.3">
      <c r="M24">
        <f t="shared" si="0"/>
        <v>3</v>
      </c>
    </row>
    <row r="25" spans="1:18" x14ac:dyDescent="0.3">
      <c r="M25">
        <f t="shared" si="0"/>
        <v>3</v>
      </c>
    </row>
    <row r="26" spans="1:18" x14ac:dyDescent="0.3">
      <c r="M26">
        <f t="shared" si="0"/>
        <v>3</v>
      </c>
    </row>
    <row r="27" spans="1:18" x14ac:dyDescent="0.3">
      <c r="M27">
        <f t="shared" si="0"/>
        <v>3</v>
      </c>
    </row>
    <row r="28" spans="1:18" x14ac:dyDescent="0.3">
      <c r="M28">
        <f t="shared" si="0"/>
        <v>3</v>
      </c>
    </row>
    <row r="29" spans="1:18" x14ac:dyDescent="0.3">
      <c r="M29">
        <f t="shared" si="0"/>
        <v>3</v>
      </c>
    </row>
    <row r="30" spans="1:18" x14ac:dyDescent="0.3">
      <c r="M30">
        <f t="shared" si="0"/>
        <v>3</v>
      </c>
    </row>
    <row r="31" spans="1:18" x14ac:dyDescent="0.3">
      <c r="M31">
        <f t="shared" si="0"/>
        <v>3</v>
      </c>
    </row>
    <row r="32" spans="1:18" x14ac:dyDescent="0.3">
      <c r="M32">
        <f t="shared" si="0"/>
        <v>3</v>
      </c>
    </row>
    <row r="33" spans="13:13" x14ac:dyDescent="0.3">
      <c r="M33">
        <f t="shared" si="0"/>
        <v>3</v>
      </c>
    </row>
    <row r="34" spans="13:13" x14ac:dyDescent="0.3">
      <c r="M34">
        <f t="shared" si="0"/>
        <v>3</v>
      </c>
    </row>
    <row r="35" spans="13:13" x14ac:dyDescent="0.3">
      <c r="M35">
        <f t="shared" si="0"/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ommandButton21">
          <controlPr defaultSize="0" autoLine="0" r:id="rId5">
            <anchor moveWithCells="1">
              <from>
                <xdr:col>14</xdr:col>
                <xdr:colOff>441960</xdr:colOff>
                <xdr:row>1</xdr:row>
                <xdr:rowOff>0</xdr:rowOff>
              </from>
              <to>
                <xdr:col>16</xdr:col>
                <xdr:colOff>45720</xdr:colOff>
                <xdr:row>2</xdr:row>
                <xdr:rowOff>144780</xdr:rowOff>
              </to>
            </anchor>
          </controlPr>
        </control>
      </mc:Choice>
      <mc:Fallback>
        <control shapeId="13315" r:id="rId4" name="CommandButton2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4"/>
  <dimension ref="C4:F8"/>
  <sheetViews>
    <sheetView workbookViewId="0">
      <selection activeCell="O30" sqref="O30"/>
    </sheetView>
  </sheetViews>
  <sheetFormatPr defaultRowHeight="14.4" x14ac:dyDescent="0.3"/>
  <sheetData>
    <row r="4" spans="3:6" x14ac:dyDescent="0.3">
      <c r="D4">
        <v>0</v>
      </c>
      <c r="E4">
        <v>1</v>
      </c>
      <c r="F4">
        <v>2</v>
      </c>
    </row>
    <row r="5" spans="3:6" x14ac:dyDescent="0.3">
      <c r="C5" t="s">
        <v>29</v>
      </c>
      <c r="D5">
        <v>100</v>
      </c>
      <c r="E5">
        <v>120</v>
      </c>
      <c r="F5">
        <v>300</v>
      </c>
    </row>
    <row r="6" spans="3:6" x14ac:dyDescent="0.3">
      <c r="C6" t="s">
        <v>30</v>
      </c>
      <c r="D6">
        <v>50</v>
      </c>
      <c r="E6">
        <v>70</v>
      </c>
      <c r="F6">
        <v>120</v>
      </c>
    </row>
    <row r="7" spans="3:6" x14ac:dyDescent="0.3">
      <c r="C7" t="s">
        <v>31</v>
      </c>
      <c r="D7">
        <v>200</v>
      </c>
      <c r="E7">
        <v>210</v>
      </c>
      <c r="F7">
        <v>340</v>
      </c>
    </row>
    <row r="8" spans="3:6" x14ac:dyDescent="0.3">
      <c r="C8" t="s">
        <v>32</v>
      </c>
      <c r="D8">
        <v>150</v>
      </c>
      <c r="E8">
        <v>200</v>
      </c>
      <c r="F8">
        <v>160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Props1.xml><?xml version="1.0" encoding="utf-8"?>
<ds:datastoreItem xmlns:ds="http://schemas.openxmlformats.org/officeDocument/2006/customXml" ds:itemID="{2AB29B8B-F41B-40DE-84CD-E0BB07F54064}">
  <ds:schemaRefs/>
</ds:datastoreItem>
</file>

<file path=customXml/itemProps2.xml><?xml version="1.0" encoding="utf-8"?>
<ds:datastoreItem xmlns:ds="http://schemas.openxmlformats.org/officeDocument/2006/customXml" ds:itemID="{BA0B0127-A384-4491-9AFF-7BBC508C08E9}">
  <ds:schemaRefs/>
</ds:datastoreItem>
</file>

<file path=customXml/itemProps3.xml><?xml version="1.0" encoding="utf-8"?>
<ds:datastoreItem xmlns:ds="http://schemas.openxmlformats.org/officeDocument/2006/customXml" ds:itemID="{8F9DD7D7-7590-42E3-A9B2-9EF97074BB30}">
  <ds:schemaRefs/>
</ds:datastoreItem>
</file>

<file path=customXml/itemProps4.xml><?xml version="1.0" encoding="utf-8"?>
<ds:datastoreItem xmlns:ds="http://schemas.openxmlformats.org/officeDocument/2006/customXml" ds:itemID="{F47FC4FB-8A6B-42FB-98F5-9653B2733DCC}">
  <ds:schemaRefs/>
</ds:datastoreItem>
</file>

<file path=customXml/itemProps5.xml><?xml version="1.0" encoding="utf-8"?>
<ds:datastoreItem xmlns:ds="http://schemas.openxmlformats.org/officeDocument/2006/customXml" ds:itemID="{542C8FC4-8936-4065-AB6B-B0C0826EA437}">
  <ds:schemaRefs/>
</ds:datastoreItem>
</file>

<file path=customXml/itemProps6.xml><?xml version="1.0" encoding="utf-8"?>
<ds:datastoreItem xmlns:ds="http://schemas.openxmlformats.org/officeDocument/2006/customXml" ds:itemID="{C1E9052E-0FB4-45F6-8D67-441259B0E3F7}">
  <ds:schemaRefs/>
</ds:datastoreItem>
</file>

<file path=customXml/itemProps7.xml><?xml version="1.0" encoding="utf-8"?>
<ds:datastoreItem xmlns:ds="http://schemas.openxmlformats.org/officeDocument/2006/customXml" ds:itemID="{43B7FA70-3B71-4162-BA41-5512E2F40C5F}">
  <ds:schemaRefs/>
</ds:datastoreItem>
</file>

<file path=customXml/itemProps8.xml><?xml version="1.0" encoding="utf-8"?>
<ds:datastoreItem xmlns:ds="http://schemas.openxmlformats.org/officeDocument/2006/customXml" ds:itemID="{5111F44B-BB14-4AEA-AD3B-7FE047E80C99}">
  <ds:schemaRefs/>
</ds:datastoreItem>
</file>

<file path=customXml/itemProps9.xml><?xml version="1.0" encoding="utf-8"?>
<ds:datastoreItem xmlns:ds="http://schemas.openxmlformats.org/officeDocument/2006/customXml" ds:itemID="{B58CB078-5C52-4D58-9BB4-0856213262D9}">
  <ds:schemaRefs/>
</ds:datastoreItem>
</file>

<file path=customXml/itemProps10.xml><?xml version="1.0" encoding="utf-8"?>
<ds:datastoreItem xmlns:ds="http://schemas.openxmlformats.org/officeDocument/2006/customXml" ds:itemID="{F717413A-4AC2-47C7-B7E1-51241E73CED6}">
  <ds:schemaRefs/>
</ds:datastoreItem>
</file>

<file path=customXml/itemProps11.xml><?xml version="1.0" encoding="utf-8"?>
<ds:datastoreItem xmlns:ds="http://schemas.openxmlformats.org/officeDocument/2006/customXml" ds:itemID="{F0F84C10-A9A6-4FF4-853A-395DE806B8F5}">
  <ds:schemaRefs/>
</ds:datastoreItem>
</file>

<file path=customXml/itemProps12.xml><?xml version="1.0" encoding="utf-8"?>
<ds:datastoreItem xmlns:ds="http://schemas.openxmlformats.org/officeDocument/2006/customXml" ds:itemID="{895CCD80-04F9-4E30-8463-F251CE91C2C5}">
  <ds:schemaRefs/>
</ds:datastoreItem>
</file>

<file path=customXml/itemProps13.xml><?xml version="1.0" encoding="utf-8"?>
<ds:datastoreItem xmlns:ds="http://schemas.openxmlformats.org/officeDocument/2006/customXml" ds:itemID="{80C9176F-60C0-4675-97CC-E008100B3BC7}">
  <ds:schemaRefs/>
</ds:datastoreItem>
</file>

<file path=customXml/itemProps14.xml><?xml version="1.0" encoding="utf-8"?>
<ds:datastoreItem xmlns:ds="http://schemas.openxmlformats.org/officeDocument/2006/customXml" ds:itemID="{F0AFF6CC-0D72-44FA-BF27-2AFB025D56E1}">
  <ds:schemaRefs/>
</ds:datastoreItem>
</file>

<file path=customXml/itemProps15.xml><?xml version="1.0" encoding="utf-8"?>
<ds:datastoreItem xmlns:ds="http://schemas.openxmlformats.org/officeDocument/2006/customXml" ds:itemID="{10F1378E-8D08-4F77-BEF3-95D5AC945FA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15</vt:i4>
      </vt:variant>
      <vt:variant>
        <vt:lpstr>Intervalos com nome</vt:lpstr>
      </vt:variant>
      <vt:variant>
        <vt:i4>1</vt:i4>
      </vt:variant>
    </vt:vector>
  </HeadingPairs>
  <TitlesOfParts>
    <vt:vector size="16" baseType="lpstr">
      <vt:lpstr>Folha7</vt:lpstr>
      <vt:lpstr>Folha6</vt:lpstr>
      <vt:lpstr>Folha5</vt:lpstr>
      <vt:lpstr>Folha4</vt:lpstr>
      <vt:lpstr>Folha3</vt:lpstr>
      <vt:lpstr>Folha2</vt:lpstr>
      <vt:lpstr>Folha8</vt:lpstr>
      <vt:lpstr>Folha9</vt:lpstr>
      <vt:lpstr>Folha10</vt:lpstr>
      <vt:lpstr>Folha12</vt:lpstr>
      <vt:lpstr>Folha11</vt:lpstr>
      <vt:lpstr>Folha15</vt:lpstr>
      <vt:lpstr>Folha13</vt:lpstr>
      <vt:lpstr>Folha1</vt:lpstr>
      <vt:lpstr>Folha14</vt:lpstr>
      <vt:lpstr>Folha1!Data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lopes</dc:creator>
  <cp:lastModifiedBy>paula lopes</cp:lastModifiedBy>
  <dcterms:created xsi:type="dcterms:W3CDTF">2015-01-12T12:02:21Z</dcterms:created>
  <dcterms:modified xsi:type="dcterms:W3CDTF">2015-01-14T17:54:06Z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